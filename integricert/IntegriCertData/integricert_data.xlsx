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gdata\Academic\myprojects\integricert\IntegriCertServer\src\main\resources\data\"/>
    </mc:Choice>
  </mc:AlternateContent>
  <bookViews>
    <workbookView xWindow="0" yWindow="0" windowWidth="20490" windowHeight="7500"/>
  </bookViews>
  <sheets>
    <sheet name="users" sheetId="1" r:id="rId1"/>
    <sheet name="colleges" sheetId="2" r:id="rId2"/>
    <sheet name="students" sheetId="3" r:id="rId3"/>
    <sheet name="companies" sheetId="4" r:id="rId4"/>
    <sheet name="employees" sheetId="5" r:id="rId5"/>
  </sheets>
  <calcPr calcId="162913"/>
</workbook>
</file>

<file path=xl/calcChain.xml><?xml version="1.0" encoding="utf-8"?>
<calcChain xmlns="http://schemas.openxmlformats.org/spreadsheetml/2006/main">
  <c r="G977" i="5" l="1"/>
  <c r="G950" i="5"/>
  <c r="G918" i="5"/>
  <c r="G863" i="5"/>
  <c r="G834" i="5"/>
  <c r="G811" i="5"/>
  <c r="G801" i="5"/>
  <c r="G784" i="5"/>
  <c r="G731" i="5"/>
  <c r="G673" i="5"/>
  <c r="G637" i="5"/>
  <c r="G609" i="5"/>
  <c r="G577" i="5"/>
  <c r="G540" i="5"/>
  <c r="G519" i="5"/>
  <c r="G501" i="5"/>
  <c r="G473" i="5"/>
  <c r="G422" i="5"/>
  <c r="G408" i="5"/>
  <c r="G400" i="5"/>
  <c r="G396" i="5"/>
  <c r="G395" i="5"/>
  <c r="G362" i="5"/>
  <c r="G288" i="5"/>
  <c r="G285" i="5"/>
  <c r="G281" i="5"/>
  <c r="G249" i="5"/>
  <c r="G237" i="5"/>
  <c r="G161" i="5"/>
  <c r="G131" i="5"/>
  <c r="G90" i="5"/>
  <c r="G5" i="5"/>
</calcChain>
</file>

<file path=xl/sharedStrings.xml><?xml version="1.0" encoding="utf-8"?>
<sst xmlns="http://schemas.openxmlformats.org/spreadsheetml/2006/main" count="17016" uniqueCount="5503">
  <si>
    <t>Full Name</t>
  </si>
  <si>
    <t>Date of Birth</t>
  </si>
  <si>
    <t>Email</t>
  </si>
  <si>
    <t>Phone Number</t>
  </si>
  <si>
    <t>Username</t>
  </si>
  <si>
    <t>Password</t>
  </si>
  <si>
    <t>John Smith</t>
  </si>
  <si>
    <t>John Johnson</t>
  </si>
  <si>
    <t>Michael Miller</t>
  </si>
  <si>
    <t>john.smith@example.com</t>
  </si>
  <si>
    <t>+1-225-490-3381</t>
  </si>
  <si>
    <t>403 Pine Ln, Georgetown</t>
  </si>
  <si>
    <t>john.smith</t>
  </si>
  <si>
    <t>K7svR1Zjku</t>
  </si>
  <si>
    <t>Name</t>
  </si>
  <si>
    <t>Admin</t>
  </si>
  <si>
    <t>admin</t>
  </si>
  <si>
    <t>Role</t>
  </si>
  <si>
    <t>ADMIN</t>
  </si>
  <si>
    <t>USER</t>
  </si>
  <si>
    <t>Address</t>
  </si>
  <si>
    <t>College_ID</t>
  </si>
  <si>
    <t>College_Name</t>
  </si>
  <si>
    <t>Location</t>
  </si>
  <si>
    <t>Registration_ID</t>
  </si>
  <si>
    <t>Established_Year</t>
  </si>
  <si>
    <t>Mobile</t>
  </si>
  <si>
    <t>Oxford University</t>
  </si>
  <si>
    <t>Oxford, UK</t>
  </si>
  <si>
    <t>REG2001</t>
  </si>
  <si>
    <t>info@oxforduniversity.edu</t>
  </si>
  <si>
    <t>Columbia University</t>
  </si>
  <si>
    <t>New York, NY</t>
  </si>
  <si>
    <t>REG2002</t>
  </si>
  <si>
    <t>info@columbiauniversity.edu</t>
  </si>
  <si>
    <t>Stanford University</t>
  </si>
  <si>
    <t>Stanford, CA</t>
  </si>
  <si>
    <t>REG2003</t>
  </si>
  <si>
    <t>info@stanforduniversity.edu</t>
  </si>
  <si>
    <t>MIT</t>
  </si>
  <si>
    <t>Cambridge, MA</t>
  </si>
  <si>
    <t>REG2004</t>
  </si>
  <si>
    <t>info@mit.edu</t>
  </si>
  <si>
    <t>Yale University</t>
  </si>
  <si>
    <t>New Haven, CT</t>
  </si>
  <si>
    <t>REG2005</t>
  </si>
  <si>
    <t>info@yaleuniversity.edu</t>
  </si>
  <si>
    <t>Caltech</t>
  </si>
  <si>
    <t>Pasadena, CA</t>
  </si>
  <si>
    <t>REG2006</t>
  </si>
  <si>
    <t>info@caltech.edu</t>
  </si>
  <si>
    <t>Princeton University</t>
  </si>
  <si>
    <t>Princeton, NJ</t>
  </si>
  <si>
    <t>REG2007</t>
  </si>
  <si>
    <t>info@princetonuniversity.edu</t>
  </si>
  <si>
    <t>Cambridge University</t>
  </si>
  <si>
    <t>Cambridge, UK</t>
  </si>
  <si>
    <t>REG2008</t>
  </si>
  <si>
    <t>info@cambridgeuniversity.edu</t>
  </si>
  <si>
    <t>Harvard University</t>
  </si>
  <si>
    <t>REG2009</t>
  </si>
  <si>
    <t>info@harvarduniversity.edu</t>
  </si>
  <si>
    <t>University of Chicago</t>
  </si>
  <si>
    <t>Chicago, IL</t>
  </si>
  <si>
    <t>REG2010</t>
  </si>
  <si>
    <t>info@universityofchicago.edu</t>
  </si>
  <si>
    <t>Student_ID</t>
  </si>
  <si>
    <t>Gender</t>
  </si>
  <si>
    <t>Course</t>
  </si>
  <si>
    <t>Phone_Number</t>
  </si>
  <si>
    <t>Academic_Year</t>
  </si>
  <si>
    <t>Course_Result</t>
  </si>
  <si>
    <t>Degree</t>
  </si>
  <si>
    <t>DOB</t>
  </si>
  <si>
    <t>Bob Wilson</t>
  </si>
  <si>
    <t>Male</t>
  </si>
  <si>
    <t>Aerospace Eng</t>
  </si>
  <si>
    <t>bob.wilson@caltech.edu</t>
  </si>
  <si>
    <t>416 University Rd, Pasadena, CA</t>
  </si>
  <si>
    <t>2021-2025</t>
  </si>
  <si>
    <t>Pass</t>
  </si>
  <si>
    <t>B.E</t>
  </si>
  <si>
    <t>Michael Thomas</t>
  </si>
  <si>
    <t>Female</t>
  </si>
  <si>
    <t>michael.thomas@caltech.edu</t>
  </si>
  <si>
    <t>25 University Rd, Pasadena, CA</t>
  </si>
  <si>
    <t>Daniel Johnson</t>
  </si>
  <si>
    <t>Computer Science</t>
  </si>
  <si>
    <t>daniel.johnson@caltech.edu</t>
  </si>
  <si>
    <t>485 University Rd, Pasadena, CA</t>
  </si>
  <si>
    <t>B.Tech</t>
  </si>
  <si>
    <t>John Miller</t>
  </si>
  <si>
    <t>Mechatronics</t>
  </si>
  <si>
    <t>john.miller@caltech.edu</t>
  </si>
  <si>
    <t>203 University Rd, Pasadena, CA</t>
  </si>
  <si>
    <t>Bob Smith</t>
  </si>
  <si>
    <t>bob.smith@caltech.edu</t>
  </si>
  <si>
    <t>17 University Rd, Pasadena, CA</t>
  </si>
  <si>
    <t>Jane Taylor</t>
  </si>
  <si>
    <t>jane.taylor@caltech.edu</t>
  </si>
  <si>
    <t>304 University Rd, Pasadena, CA</t>
  </si>
  <si>
    <t>Daniel Miller</t>
  </si>
  <si>
    <t>Chemistry</t>
  </si>
  <si>
    <t>daniel.miller@caltech.edu</t>
  </si>
  <si>
    <t>399 University Rd, Pasadena, CA</t>
  </si>
  <si>
    <t>B.Sc</t>
  </si>
  <si>
    <t>Mathematics</t>
  </si>
  <si>
    <t>358 University Rd, Pasadena, CA</t>
  </si>
  <si>
    <t>Michael Taylor</t>
  </si>
  <si>
    <t>Electronics Eng</t>
  </si>
  <si>
    <t>michael.taylor@caltech.edu</t>
  </si>
  <si>
    <t>55 University Rd, Pasadena, CA</t>
  </si>
  <si>
    <t>Fail</t>
  </si>
  <si>
    <t>Charlie Miller</t>
  </si>
  <si>
    <t>charlie.miller@caltech.edu</t>
  </si>
  <si>
    <t>283 University Rd, Pasadena, CA</t>
  </si>
  <si>
    <t>Emma Taylor</t>
  </si>
  <si>
    <t>Electrical Eng</t>
  </si>
  <si>
    <t>emma.taylor@caltech.edu</t>
  </si>
  <si>
    <t>385 University Rd, Pasadena, CA</t>
  </si>
  <si>
    <t>john.johnson@caltech.edu</t>
  </si>
  <si>
    <t>397 University Rd, Pasadena, CA</t>
  </si>
  <si>
    <t>Emma Johnson</t>
  </si>
  <si>
    <t>emma.johnson@caltech.edu</t>
  </si>
  <si>
    <t>249 University Rd, Pasadena, CA</t>
  </si>
  <si>
    <t>John Wilson</t>
  </si>
  <si>
    <t>Civil Eng</t>
  </si>
  <si>
    <t>john.wilson@caltech.edu</t>
  </si>
  <si>
    <t>364 University Rd, Pasadena, CA</t>
  </si>
  <si>
    <t>Distinction</t>
  </si>
  <si>
    <t>David Thomas</t>
  </si>
  <si>
    <t>Physics</t>
  </si>
  <si>
    <t>david.thomas@caltech.edu</t>
  </si>
  <si>
    <t>306 University Rd, Pasadena, CA</t>
  </si>
  <si>
    <t>Emma Moore</t>
  </si>
  <si>
    <t>Automobile Eng</t>
  </si>
  <si>
    <t>emma.moore@caltech.edu</t>
  </si>
  <si>
    <t>104 University Rd, Pasadena, CA</t>
  </si>
  <si>
    <t>Alice Smith</t>
  </si>
  <si>
    <t>alice.smith@caltech.edu</t>
  </si>
  <si>
    <t>430 University Rd, Pasadena, CA</t>
  </si>
  <si>
    <t>Daniel Taylor</t>
  </si>
  <si>
    <t>daniel.taylor@caltech.edu</t>
  </si>
  <si>
    <t>498 University Rd, Pasadena, CA</t>
  </si>
  <si>
    <t>Michael Anderson</t>
  </si>
  <si>
    <t>michael.anderson@caltech.edu</t>
  </si>
  <si>
    <t>52 University Rd, Pasadena, CA</t>
  </si>
  <si>
    <t>Michael Brown</t>
  </si>
  <si>
    <t>michael.brown@caltech.edu</t>
  </si>
  <si>
    <t>487 University Rd, Pasadena, CA</t>
  </si>
  <si>
    <t>238 University Rd, Pasadena, CA</t>
  </si>
  <si>
    <t>Jane Anderson</t>
  </si>
  <si>
    <t>jane.anderson@caltech.edu</t>
  </si>
  <si>
    <t>312 University Rd, Pasadena, CA</t>
  </si>
  <si>
    <t>447 University Rd, Pasadena, CA</t>
  </si>
  <si>
    <t>Sophia Johnson</t>
  </si>
  <si>
    <t>sophia.johnson@caltech.edu</t>
  </si>
  <si>
    <t>14 University Rd, Pasadena, CA</t>
  </si>
  <si>
    <t>2022-2026</t>
  </si>
  <si>
    <t>Merit</t>
  </si>
  <si>
    <t>237 University Rd, Pasadena, CA</t>
  </si>
  <si>
    <t>John Davis</t>
  </si>
  <si>
    <t>john.davis@caltech.edu</t>
  </si>
  <si>
    <t>139 University Rd, Pasadena, CA</t>
  </si>
  <si>
    <t>157 University Rd, Pasadena, CA</t>
  </si>
  <si>
    <t>Sophia Moore</t>
  </si>
  <si>
    <t>sophia.moore@caltech.edu</t>
  </si>
  <si>
    <t>240 University Rd, Pasadena, CA</t>
  </si>
  <si>
    <t>Daniel Davis</t>
  </si>
  <si>
    <t>daniel.davis@caltech.edu</t>
  </si>
  <si>
    <t>490 University Rd, Pasadena, CA</t>
  </si>
  <si>
    <t>Charlie Smith</t>
  </si>
  <si>
    <t>charlie.smith@caltech.edu</t>
  </si>
  <si>
    <t>471 University Rd, Pasadena, CA</t>
  </si>
  <si>
    <t>David Moore</t>
  </si>
  <si>
    <t>david.moore@caltech.edu</t>
  </si>
  <si>
    <t>428 University Rd, Pasadena, CA</t>
  </si>
  <si>
    <t>Daniel Wilson</t>
  </si>
  <si>
    <t>daniel.wilson@caltech.edu</t>
  </si>
  <si>
    <t>426 University Rd, Pasadena, CA</t>
  </si>
  <si>
    <t>David Smith</t>
  </si>
  <si>
    <t>david.smith@caltech.edu</t>
  </si>
  <si>
    <t>393 University Rd, Pasadena, CA</t>
  </si>
  <si>
    <t>Daniel Anderson</t>
  </si>
  <si>
    <t>Mechanical Eng</t>
  </si>
  <si>
    <t>daniel.anderson@caltech.edu</t>
  </si>
  <si>
    <t>1 University Rd, Pasadena, CA</t>
  </si>
  <si>
    <t>David Wilson</t>
  </si>
  <si>
    <t>david.wilson@caltech.edu</t>
  </si>
  <si>
    <t>330 University Rd, Pasadena, CA</t>
  </si>
  <si>
    <t>264 University Rd, Pasadena, CA</t>
  </si>
  <si>
    <t>Emma Wilson</t>
  </si>
  <si>
    <t>emma.wilson@caltech.edu</t>
  </si>
  <si>
    <t>454 University Rd, Pasadena, CA</t>
  </si>
  <si>
    <t>329 University Rd, Pasadena, CA</t>
  </si>
  <si>
    <t>Jane Thomas</t>
  </si>
  <si>
    <t>jane.thomas@caltech.edu</t>
  </si>
  <si>
    <t>35 University Rd, Pasadena, CA</t>
  </si>
  <si>
    <t>David Brown</t>
  </si>
  <si>
    <t>david.brown@caltech.edu</t>
  </si>
  <si>
    <t>342 University Rd, Pasadena, CA</t>
  </si>
  <si>
    <t>424 University Rd, Pasadena, CA</t>
  </si>
  <si>
    <t>75 University Rd, Pasadena, CA</t>
  </si>
  <si>
    <t>David Anderson</t>
  </si>
  <si>
    <t>david.anderson@caltech.edu</t>
  </si>
  <si>
    <t>173 University Rd, Pasadena, CA</t>
  </si>
  <si>
    <t>2023-2027</t>
  </si>
  <si>
    <t>236 University Rd, Pasadena, CA</t>
  </si>
  <si>
    <t>Charlie Taylor</t>
  </si>
  <si>
    <t>charlie.taylor@caltech.edu</t>
  </si>
  <si>
    <t>291 University Rd, Pasadena, CA</t>
  </si>
  <si>
    <t>421 University Rd, Pasadena, CA</t>
  </si>
  <si>
    <t>John Brown</t>
  </si>
  <si>
    <t>john.brown@caltech.edu</t>
  </si>
  <si>
    <t>83 University Rd, Pasadena, CA</t>
  </si>
  <si>
    <t>Charlie Johnson</t>
  </si>
  <si>
    <t>charlie.johnson@caltech.edu</t>
  </si>
  <si>
    <t>114 University Rd, Pasadena, CA</t>
  </si>
  <si>
    <t>Michael Johnson</t>
  </si>
  <si>
    <t>michael.johnson@caltech.edu</t>
  </si>
  <si>
    <t>273 University Rd, Pasadena, CA</t>
  </si>
  <si>
    <t>Daniel Moore</t>
  </si>
  <si>
    <t>daniel.moore@caltech.edu</t>
  </si>
  <si>
    <t>451 University Rd, Pasadena, CA</t>
  </si>
  <si>
    <t>Biology</t>
  </si>
  <si>
    <t>313 University Rd, Pasadena, CA</t>
  </si>
  <si>
    <t>michael.miller@caltech.edu</t>
  </si>
  <si>
    <t>243 University Rd, Pasadena, CA</t>
  </si>
  <si>
    <t>David Miller</t>
  </si>
  <si>
    <t>david.miller@caltech.edu</t>
  </si>
  <si>
    <t>Charlie Thomas</t>
  </si>
  <si>
    <t>charlie.thomas@caltech.edu</t>
  </si>
  <si>
    <t>462 University Rd, Pasadena, CA</t>
  </si>
  <si>
    <t>Emma Miller</t>
  </si>
  <si>
    <t>emma.miller@caltech.edu</t>
  </si>
  <si>
    <t>53 University Rd, Pasadena, CA</t>
  </si>
  <si>
    <t>Charlie Brown</t>
  </si>
  <si>
    <t>charlie.brown@caltech.edu</t>
  </si>
  <si>
    <t>95 University Rd, Pasadena, CA</t>
  </si>
  <si>
    <t>Emma Thomas</t>
  </si>
  <si>
    <t>emma.thomas@caltech.edu</t>
  </si>
  <si>
    <t>186 University Rd, Pasadena, CA</t>
  </si>
  <si>
    <t>Bob Moore</t>
  </si>
  <si>
    <t>bob.moore@caltech.edu</t>
  </si>
  <si>
    <t>475 University Rd, Pasadena, CA</t>
  </si>
  <si>
    <t>355 University Rd, Pasadena, CA</t>
  </si>
  <si>
    <t>23 University Rd, Pasadena, CA</t>
  </si>
  <si>
    <t>2024-2028</t>
  </si>
  <si>
    <t>223 University Rd, Pasadena, CA</t>
  </si>
  <si>
    <t>308 University Rd, Pasadena, CA</t>
  </si>
  <si>
    <t>320 University Rd, Pasadena, CA</t>
  </si>
  <si>
    <t>305 University Rd, Pasadena, CA</t>
  </si>
  <si>
    <t>234 University Rd, Pasadena, CA</t>
  </si>
  <si>
    <t>366 University Rd, Pasadena, CA</t>
  </si>
  <si>
    <t>198 University Rd, Pasadena, CA</t>
  </si>
  <si>
    <t>126 University Rd, Pasadena, CA</t>
  </si>
  <si>
    <t>103 University Rd, Pasadena, CA</t>
  </si>
  <si>
    <t>450 University Rd, Pasadena, CA</t>
  </si>
  <si>
    <t>439 University Rd, Pasadena, CA</t>
  </si>
  <si>
    <t>Michael Davis</t>
  </si>
  <si>
    <t>michael.davis@caltech.edu</t>
  </si>
  <si>
    <t>163 University Rd, Pasadena, CA</t>
  </si>
  <si>
    <t>Jane Miller</t>
  </si>
  <si>
    <t>jane.miller@caltech.edu</t>
  </si>
  <si>
    <t>189 University Rd, Pasadena, CA</t>
  </si>
  <si>
    <t>Charlie Moore</t>
  </si>
  <si>
    <t>charlie.moore@cam.ac.uk</t>
  </si>
  <si>
    <t>203 University Rd, Cambridge, UK</t>
  </si>
  <si>
    <t>Economics</t>
  </si>
  <si>
    <t>alice.smith@cam.ac.uk</t>
  </si>
  <si>
    <t>378 University Rd, Cambridge, UK</t>
  </si>
  <si>
    <t>B.Com</t>
  </si>
  <si>
    <t>Intellectual Property Law</t>
  </si>
  <si>
    <t>charlie.brown@cam.ac.uk</t>
  </si>
  <si>
    <t>39 University Rd, Cambridge, UK</t>
  </si>
  <si>
    <t>LLB</t>
  </si>
  <si>
    <t>John Taylor</t>
  </si>
  <si>
    <t>Accounting</t>
  </si>
  <si>
    <t>john.taylor@cam.ac.uk</t>
  </si>
  <si>
    <t>286 University Rd, Cambridge, UK</t>
  </si>
  <si>
    <t>michael.thomas@cam.ac.uk</t>
  </si>
  <si>
    <t>156 University Rd, Cambridge, UK</t>
  </si>
  <si>
    <t>Michael Smith</t>
  </si>
  <si>
    <t>michael.smith@cam.ac.uk</t>
  </si>
  <si>
    <t>163 University Rd, Cambridge, UK</t>
  </si>
  <si>
    <t>Political Science</t>
  </si>
  <si>
    <t>emma.miller@cam.ac.uk</t>
  </si>
  <si>
    <t>325 University Rd, Cambridge, UK</t>
  </si>
  <si>
    <t>B.A</t>
  </si>
  <si>
    <t>Business Studies</t>
  </si>
  <si>
    <t>john.johnson@cam.ac.uk</t>
  </si>
  <si>
    <t>4 University Rd, Cambridge, UK</t>
  </si>
  <si>
    <t>Philosophy</t>
  </si>
  <si>
    <t>john.wilson@cam.ac.uk</t>
  </si>
  <si>
    <t>168 University Rd, Cambridge, UK</t>
  </si>
  <si>
    <t>michael.taylor@cam.ac.uk</t>
  </si>
  <si>
    <t>206 University Rd, Cambridge, UK</t>
  </si>
  <si>
    <t>Charlie Anderson</t>
  </si>
  <si>
    <t>charlie.anderson@cam.ac.uk</t>
  </si>
  <si>
    <t>328 University Rd, Cambridge, UK</t>
  </si>
  <si>
    <t>Criminal Law</t>
  </si>
  <si>
    <t>383 University Rd, Cambridge, UK</t>
  </si>
  <si>
    <t>246 University Rd, Cambridge, UK</t>
  </si>
  <si>
    <t>Alice Taylor</t>
  </si>
  <si>
    <t>alice.taylor@cam.ac.uk</t>
  </si>
  <si>
    <t>43 University Rd, Cambridge, UK</t>
  </si>
  <si>
    <t>International Law</t>
  </si>
  <si>
    <t>michael.johnson@cam.ac.uk</t>
  </si>
  <si>
    <t>History</t>
  </si>
  <si>
    <t>daniel.miller@cam.ac.uk</t>
  </si>
  <si>
    <t>110 University Rd, Cambridge, UK</t>
  </si>
  <si>
    <t>Alice Miller</t>
  </si>
  <si>
    <t>alice.miller@cam.ac.uk</t>
  </si>
  <si>
    <t>215 University Rd, Cambridge, UK</t>
  </si>
  <si>
    <t>Corporate Law</t>
  </si>
  <si>
    <t>john.davis@cam.ac.uk</t>
  </si>
  <si>
    <t>290 University Rd, Cambridge, UK</t>
  </si>
  <si>
    <t>Alice Thomas</t>
  </si>
  <si>
    <t>alice.thomas@cam.ac.uk</t>
  </si>
  <si>
    <t>365 University Rd, Cambridge, UK</t>
  </si>
  <si>
    <t>john.miller@cam.ac.uk</t>
  </si>
  <si>
    <t>190 University Rd, Cambridge, UK</t>
  </si>
  <si>
    <t>charlie.taylor@cam.ac.uk</t>
  </si>
  <si>
    <t>442 University Rd, Cambridge, UK</t>
  </si>
  <si>
    <t>jane.taylor@cam.ac.uk</t>
  </si>
  <si>
    <t>89 University Rd, Cambridge, UK</t>
  </si>
  <si>
    <t>daniel.wilson@cam.ac.uk</t>
  </si>
  <si>
    <t>487 University Rd, Cambridge, UK</t>
  </si>
  <si>
    <t>Emma Anderson</t>
  </si>
  <si>
    <t>emma.anderson@cam.ac.uk</t>
  </si>
  <si>
    <t>391 University Rd, Cambridge, UK</t>
  </si>
  <si>
    <t>Finance</t>
  </si>
  <si>
    <t>445 University Rd, Cambridge, UK</t>
  </si>
  <si>
    <t>emma.thomas@cam.ac.uk</t>
  </si>
  <si>
    <t>61 University Rd, Cambridge, UK</t>
  </si>
  <si>
    <t>michael.anderson@cam.ac.uk</t>
  </si>
  <si>
    <t>398 University Rd, Cambridge, UK</t>
  </si>
  <si>
    <t>486 University Rd, Cambridge, UK</t>
  </si>
  <si>
    <t>sophia.moore@cam.ac.uk</t>
  </si>
  <si>
    <t>267 University Rd, Cambridge, UK</t>
  </si>
  <si>
    <t>441 University Rd, Cambridge, UK</t>
  </si>
  <si>
    <t>bob.moore@cam.ac.uk</t>
  </si>
  <si>
    <t>297 University Rd, Cambridge, UK</t>
  </si>
  <si>
    <t>david.smith@cam.ac.uk</t>
  </si>
  <si>
    <t>daniel.taylor@cam.ac.uk</t>
  </si>
  <si>
    <t>162 University Rd, Cambridge, UK</t>
  </si>
  <si>
    <t>7 University Rd, Cambridge, UK</t>
  </si>
  <si>
    <t>Emma Smith</t>
  </si>
  <si>
    <t>emma.smith@cam.ac.uk</t>
  </si>
  <si>
    <t>127 University Rd, Cambridge, UK</t>
  </si>
  <si>
    <t>Bob Miller</t>
  </si>
  <si>
    <t>Sociology</t>
  </si>
  <si>
    <t>bob.miller@cam.ac.uk</t>
  </si>
  <si>
    <t>145 University Rd, Cambridge, UK</t>
  </si>
  <si>
    <t>476 University Rd, Cambridge, UK</t>
  </si>
  <si>
    <t>bob.smith@cam.ac.uk</t>
  </si>
  <si>
    <t>115 University Rd, Cambridge, UK</t>
  </si>
  <si>
    <t>Jane Davis</t>
  </si>
  <si>
    <t>jane.davis@cam.ac.uk</t>
  </si>
  <si>
    <t>306 University Rd, Cambridge, UK</t>
  </si>
  <si>
    <t>John Moore</t>
  </si>
  <si>
    <t>john.moore@cam.ac.uk</t>
  </si>
  <si>
    <t>346 University Rd, Cambridge, UK</t>
  </si>
  <si>
    <t>emma.moore@cam.ac.uk</t>
  </si>
  <si>
    <t>470 University Rd, Cambridge, UK</t>
  </si>
  <si>
    <t>david.brown@cam.ac.uk</t>
  </si>
  <si>
    <t>425 University Rd, Cambridge, UK</t>
  </si>
  <si>
    <t>371 University Rd, Cambridge, UK</t>
  </si>
  <si>
    <t>Michael Moore</t>
  </si>
  <si>
    <t>michael.moore@cam.ac.uk</t>
  </si>
  <si>
    <t>144 University Rd, Cambridge, UK</t>
  </si>
  <si>
    <t>michael.davis@cam.ac.uk</t>
  </si>
  <si>
    <t>299 University Rd, Cambridge, UK</t>
  </si>
  <si>
    <t>Daniel Thomas</t>
  </si>
  <si>
    <t>daniel.thomas@cam.ac.uk</t>
  </si>
  <si>
    <t>252 University Rd, Cambridge, UK</t>
  </si>
  <si>
    <t>364 University Rd, Cambridge, UK</t>
  </si>
  <si>
    <t>Jane Moore</t>
  </si>
  <si>
    <t>jane.moore@cam.ac.uk</t>
  </si>
  <si>
    <t>285 University Rd, Cambridge, UK</t>
  </si>
  <si>
    <t>emma.johnson@cam.ac.uk</t>
  </si>
  <si>
    <t>420 University Rd, Cambridge, UK</t>
  </si>
  <si>
    <t>daniel.anderson@cam.ac.uk</t>
  </si>
  <si>
    <t>238 University Rd, Cambridge, UK</t>
  </si>
  <si>
    <t>Bob Johnson</t>
  </si>
  <si>
    <t>bob.johnson@cam.ac.uk</t>
  </si>
  <si>
    <t>429 University Rd, Cambridge, UK</t>
  </si>
  <si>
    <t>Sophia Thomas</t>
  </si>
  <si>
    <t>sophia.thomas@cam.ac.uk</t>
  </si>
  <si>
    <t>46 University Rd, Cambridge, UK</t>
  </si>
  <si>
    <t>471 University Rd, Cambridge, UK</t>
  </si>
  <si>
    <t>108 University Rd, Cambridge, UK</t>
  </si>
  <si>
    <t>57 University Rd, Cambridge, UK</t>
  </si>
  <si>
    <t>Alice Brown</t>
  </si>
  <si>
    <t>alice.brown@columbia.edu</t>
  </si>
  <si>
    <t>99 University Rd, New York, NY</t>
  </si>
  <si>
    <t>John Anderson</t>
  </si>
  <si>
    <t>Human Resources</t>
  </si>
  <si>
    <t>john.anderson@columbia.edu</t>
  </si>
  <si>
    <t>375 University Rd, New York, NY</t>
  </si>
  <si>
    <t>BBA</t>
  </si>
  <si>
    <t>charlie.anderson@columbia.edu</t>
  </si>
  <si>
    <t>152 University Rd, New York, NY</t>
  </si>
  <si>
    <t>Business Admin</t>
  </si>
  <si>
    <t>michael.taylor@columbia.edu</t>
  </si>
  <si>
    <t>62 University Rd, New York, NY</t>
  </si>
  <si>
    <t>Sophia Brown</t>
  </si>
  <si>
    <t>sophia.brown@columbia.edu</t>
  </si>
  <si>
    <t>181 University Rd, New York, NY</t>
  </si>
  <si>
    <t>jane.miller@columbia.edu</t>
  </si>
  <si>
    <t>232 University Rd, New York, NY</t>
  </si>
  <si>
    <t>alice.miller@columbia.edu</t>
  </si>
  <si>
    <t>238 University Rd, New York, NY</t>
  </si>
  <si>
    <t>emma.miller@columbia.edu</t>
  </si>
  <si>
    <t>491 University Rd, New York, NY</t>
  </si>
  <si>
    <t>alice.smith@columbia.edu</t>
  </si>
  <si>
    <t>166 University Rd, New York, NY</t>
  </si>
  <si>
    <t>Sophia Anderson</t>
  </si>
  <si>
    <t>sophia.anderson@columbia.edu</t>
  </si>
  <si>
    <t>160 University Rd, New York, NY</t>
  </si>
  <si>
    <t>David Taylor</t>
  </si>
  <si>
    <t>david.taylor@columbia.edu</t>
  </si>
  <si>
    <t>71 University Rd, New York, NY</t>
  </si>
  <si>
    <t>jane.davis@columbia.edu</t>
  </si>
  <si>
    <t>430 University Rd, New York, NY</t>
  </si>
  <si>
    <t>emma.johnson@columbia.edu</t>
  </si>
  <si>
    <t>charlie.johnson@columbia.edu</t>
  </si>
  <si>
    <t>335 University Rd, New York, NY</t>
  </si>
  <si>
    <t>John Thomas</t>
  </si>
  <si>
    <t>john.thomas@columbia.edu</t>
  </si>
  <si>
    <t>80 University Rd, New York, NY</t>
  </si>
  <si>
    <t>daniel.moore@columbia.edu</t>
  </si>
  <si>
    <t>200 University Rd, New York, NY</t>
  </si>
  <si>
    <t>john.davis@columbia.edu</t>
  </si>
  <si>
    <t>339 University Rd, New York, NY</t>
  </si>
  <si>
    <t>emma.smith@columbia.edu</t>
  </si>
  <si>
    <t>201 University Rd, New York, NY</t>
  </si>
  <si>
    <t>281 University Rd, New York, NY</t>
  </si>
  <si>
    <t>Operations Management</t>
  </si>
  <si>
    <t>bob.wilson@columbia.edu</t>
  </si>
  <si>
    <t>478 University Rd, New York, NY</t>
  </si>
  <si>
    <t>315 University Rd, New York, NY</t>
  </si>
  <si>
    <t>Alice Johnson</t>
  </si>
  <si>
    <t>alice.johnson@columbia.edu</t>
  </si>
  <si>
    <t>13 University Rd, New York, NY</t>
  </si>
  <si>
    <t>alice.thomas@columbia.edu</t>
  </si>
  <si>
    <t>492 University Rd, New York, NY</t>
  </si>
  <si>
    <t>john.moore@columbia.edu</t>
  </si>
  <si>
    <t>84 University Rd, New York, NY</t>
  </si>
  <si>
    <t>436 University Rd, New York, NY</t>
  </si>
  <si>
    <t>Jane Johnson</t>
  </si>
  <si>
    <t>jane.johnson@columbia.edu</t>
  </si>
  <si>
    <t>392 University Rd, New York, NY</t>
  </si>
  <si>
    <t>daniel.wilson@columbia.edu</t>
  </si>
  <si>
    <t>351 University Rd, New York, NY</t>
  </si>
  <si>
    <t>charlie.brown@columbia.edu</t>
  </si>
  <si>
    <t>380 University Rd, New York, NY</t>
  </si>
  <si>
    <t>Jane Brown</t>
  </si>
  <si>
    <t>jane.brown@columbia.edu</t>
  </si>
  <si>
    <t>345 University Rd, New York, NY</t>
  </si>
  <si>
    <t>78 University Rd, New York, NY</t>
  </si>
  <si>
    <t>john.taylor@columbia.edu</t>
  </si>
  <si>
    <t>107 University Rd, New York, NY</t>
  </si>
  <si>
    <t>john.miller@columbia.edu</t>
  </si>
  <si>
    <t>498 University Rd, New York, NY</t>
  </si>
  <si>
    <t>464 University Rd, New York, NY</t>
  </si>
  <si>
    <t>59 University Rd, New York, NY</t>
  </si>
  <si>
    <t>Marketing</t>
  </si>
  <si>
    <t>76 University Rd, New York, NY</t>
  </si>
  <si>
    <t>58 University Rd, New York, NY</t>
  </si>
  <si>
    <t>daniel.anderson@columbia.edu</t>
  </si>
  <si>
    <t>184 University Rd, New York, NY</t>
  </si>
  <si>
    <t>michael.thomas@columbia.edu</t>
  </si>
  <si>
    <t>17 University Rd, New York, NY</t>
  </si>
  <si>
    <t>john.johnson@columbia.edu</t>
  </si>
  <si>
    <t>283 University Rd, New York, NY</t>
  </si>
  <si>
    <t>David Johnson</t>
  </si>
  <si>
    <t>david.johnson@columbia.edu</t>
  </si>
  <si>
    <t>31 University Rd, New York, NY</t>
  </si>
  <si>
    <t>michael.miller@columbia.edu</t>
  </si>
  <si>
    <t>133 University Rd, New York, NY</t>
  </si>
  <si>
    <t>445 University Rd, New York, NY</t>
  </si>
  <si>
    <t>charlie.thomas@columbia.edu</t>
  </si>
  <si>
    <t>475 University Rd, New York, NY</t>
  </si>
  <si>
    <t>bob.johnson@columbia.edu</t>
  </si>
  <si>
    <t>254 University Rd, New York, NY</t>
  </si>
  <si>
    <t>Daniel Smith</t>
  </si>
  <si>
    <t>daniel.smith@columbia.edu</t>
  </si>
  <si>
    <t>7 University Rd, New York, NY</t>
  </si>
  <si>
    <t>sophia.moore@columbia.edu</t>
  </si>
  <si>
    <t>240 University Rd, New York, NY</t>
  </si>
  <si>
    <t>Jane Wilson</t>
  </si>
  <si>
    <t>jane.wilson@columbia.edu</t>
  </si>
  <si>
    <t>270 University Rd, New York, NY</t>
  </si>
  <si>
    <t>Jane Smith</t>
  </si>
  <si>
    <t>jane.smith@columbia.edu</t>
  </si>
  <si>
    <t>439 University Rd, New York, NY</t>
  </si>
  <si>
    <t>daniel.taylor@columbia.edu</t>
  </si>
  <si>
    <t>413 University Rd, New York, NY</t>
  </si>
  <si>
    <t>130 University Rd, New York, NY</t>
  </si>
  <si>
    <t>197 University Rd, New York, NY</t>
  </si>
  <si>
    <t>bob.smith@columbia.edu</t>
  </si>
  <si>
    <t>393 University Rd, New York, NY</t>
  </si>
  <si>
    <t>david.anderson@columbia.edu</t>
  </si>
  <si>
    <t>276 University Rd, New York, NY</t>
  </si>
  <si>
    <t>Sophia Taylor</t>
  </si>
  <si>
    <t>sophia.taylor@columbia.edu</t>
  </si>
  <si>
    <t>256 University Rd, New York, NY</t>
  </si>
  <si>
    <t>john.smith@columbia.edu</t>
  </si>
  <si>
    <t>483 University Rd, New York, NY</t>
  </si>
  <si>
    <t>michael.johnson@columbia.edu</t>
  </si>
  <si>
    <t>394 University Rd, New York, NY</t>
  </si>
  <si>
    <t>304 University Rd, New York, NY</t>
  </si>
  <si>
    <t>379 University Rd, New York, NY</t>
  </si>
  <si>
    <t>Charlie Davis</t>
  </si>
  <si>
    <t>charlie.davis@columbia.edu</t>
  </si>
  <si>
    <t>82 University Rd, New York, NY</t>
  </si>
  <si>
    <t>97 University Rd, New York, NY</t>
  </si>
  <si>
    <t>3 University Rd, New York, NY</t>
  </si>
  <si>
    <t>108 University Rd, New York, NY</t>
  </si>
  <si>
    <t>309 University Rd, New York, NY</t>
  </si>
  <si>
    <t>222 University Rd, New York, NY</t>
  </si>
  <si>
    <t>daniel.davis@columbia.edu</t>
  </si>
  <si>
    <t>emma.taylor@columbia.edu</t>
  </si>
  <si>
    <t>28 University Rd, New York, NY</t>
  </si>
  <si>
    <t>jane.moore@columbia.edu</t>
  </si>
  <si>
    <t>32 University Rd, New York, NY</t>
  </si>
  <si>
    <t>Bob Brown</t>
  </si>
  <si>
    <t>bob.brown@columbia.edu</t>
  </si>
  <si>
    <t>423 University Rd, New York, NY</t>
  </si>
  <si>
    <t>jane.thomas@columbia.edu</t>
  </si>
  <si>
    <t>432 University Rd, New York, NY</t>
  </si>
  <si>
    <t>457 University Rd, New York, NY</t>
  </si>
  <si>
    <t>michael.davis@columbia.edu</t>
  </si>
  <si>
    <t>317 University Rd, New York, NY</t>
  </si>
  <si>
    <t>jane.anderson@columbia.edu</t>
  </si>
  <si>
    <t>109 University Rd, New York, NY</t>
  </si>
  <si>
    <t>Bob Davis</t>
  </si>
  <si>
    <t>bob.davis@columbia.edu</t>
  </si>
  <si>
    <t>19 University Rd, New York, NY</t>
  </si>
  <si>
    <t>Sophia Miller</t>
  </si>
  <si>
    <t>sophia.miller@columbia.edu</t>
  </si>
  <si>
    <t>361 University Rd, New York, NY</t>
  </si>
  <si>
    <t>349 University Rd, New York, NY</t>
  </si>
  <si>
    <t>Alice Davis</t>
  </si>
  <si>
    <t>alice.davis@columbia.edu</t>
  </si>
  <si>
    <t>136 University Rd, New York, NY</t>
  </si>
  <si>
    <t>daniel.johnson@columbia.edu</t>
  </si>
  <si>
    <t>490 University Rd, New York, NY</t>
  </si>
  <si>
    <t>88 University Rd, New York, NY</t>
  </si>
  <si>
    <t>Emma Brown</t>
  </si>
  <si>
    <t>emma.brown@columbia.edu</t>
  </si>
  <si>
    <t>428 University Rd, New York, NY</t>
  </si>
  <si>
    <t>charlie.moore@columbia.edu</t>
  </si>
  <si>
    <t>330 University Rd, New York, NY</t>
  </si>
  <si>
    <t>343 University Rd, New York, NY</t>
  </si>
  <si>
    <t>sophia.johnson@columbia.edu</t>
  </si>
  <si>
    <t>302 University Rd, New York, NY</t>
  </si>
  <si>
    <t>john.wilson@columbia.edu</t>
  </si>
  <si>
    <t>207 University Rd, New York, NY</t>
  </si>
  <si>
    <t>378 University Rd, New York, NY</t>
  </si>
  <si>
    <t>bob.moore@columbia.edu</t>
  </si>
  <si>
    <t>451 University Rd, New York, NY</t>
  </si>
  <si>
    <t>jane.moore@harvard.edu</t>
  </si>
  <si>
    <t>476 University Rd, Cambridge, MA</t>
  </si>
  <si>
    <t>alice.brown@harvard.edu</t>
  </si>
  <si>
    <t>345 University Rd, Cambridge, MA</t>
  </si>
  <si>
    <t>david.wilson@harvard.edu</t>
  </si>
  <si>
    <t>358 University Rd, Cambridge, MA</t>
  </si>
  <si>
    <t>jane.johnson@harvard.edu</t>
  </si>
  <si>
    <t>439 University Rd, Cambridge, MA</t>
  </si>
  <si>
    <t>john.davis@harvard.edu</t>
  </si>
  <si>
    <t>119 University Rd, Cambridge, MA</t>
  </si>
  <si>
    <t>sophia.thomas@harvard.edu</t>
  </si>
  <si>
    <t>433 University Rd, Cambridge, MA</t>
  </si>
  <si>
    <t>David Davis</t>
  </si>
  <si>
    <t>david.davis@harvard.edu</t>
  </si>
  <si>
    <t>283 University Rd, Cambridge, MA</t>
  </si>
  <si>
    <t>michael.davis@harvard.edu</t>
  </si>
  <si>
    <t>479 University Rd, Cambridge, MA</t>
  </si>
  <si>
    <t>daniel.johnson@harvard.edu</t>
  </si>
  <si>
    <t>13 University Rd, Cambridge, MA</t>
  </si>
  <si>
    <t>daniel.anderson@harvard.edu</t>
  </si>
  <si>
    <t>9 University Rd, Cambridge, MA</t>
  </si>
  <si>
    <t>emma.thomas@harvard.edu</t>
  </si>
  <si>
    <t>428 University Rd, Cambridge, MA</t>
  </si>
  <si>
    <t>john.taylor@harvard.edu</t>
  </si>
  <si>
    <t>230 University Rd, Cambridge, MA</t>
  </si>
  <si>
    <t>jane.taylor@harvard.edu</t>
  </si>
  <si>
    <t>427 University Rd, Cambridge, MA</t>
  </si>
  <si>
    <t>bob.wilson@harvard.edu</t>
  </si>
  <si>
    <t>38 University Rd, Cambridge, MA</t>
  </si>
  <si>
    <t>bob.miller@harvard.edu</t>
  </si>
  <si>
    <t>88 University Rd, Cambridge, MA</t>
  </si>
  <si>
    <t>jane.davis@harvard.edu</t>
  </si>
  <si>
    <t>487 University Rd, Cambridge, MA</t>
  </si>
  <si>
    <t>daniel.thomas@harvard.edu</t>
  </si>
  <si>
    <t>429 University Rd, Cambridge, MA</t>
  </si>
  <si>
    <t>michael.thomas@harvard.edu</t>
  </si>
  <si>
    <t>452 University Rd, Cambridge, MA</t>
  </si>
  <si>
    <t>Sophia Smith</t>
  </si>
  <si>
    <t>sophia.smith@harvard.edu</t>
  </si>
  <si>
    <t>498 University Rd, Cambridge, MA</t>
  </si>
  <si>
    <t>137 University Rd, Cambridge, MA</t>
  </si>
  <si>
    <t>184 University Rd, Cambridge, MA</t>
  </si>
  <si>
    <t>alice.smith@harvard.edu</t>
  </si>
  <si>
    <t>352 University Rd, Cambridge, MA</t>
  </si>
  <si>
    <t>charlie.anderson@harvard.edu</t>
  </si>
  <si>
    <t>234 University Rd, Cambridge, MA</t>
  </si>
  <si>
    <t>382 University Rd, Cambridge, MA</t>
  </si>
  <si>
    <t>charlie.miller@harvard.edu</t>
  </si>
  <si>
    <t>185 University Rd, Cambridge, MA</t>
  </si>
  <si>
    <t>Bob Anderson</t>
  </si>
  <si>
    <t>bob.anderson@harvard.edu</t>
  </si>
  <si>
    <t>477 University Rd, Cambridge, MA</t>
  </si>
  <si>
    <t>emma.johnson@harvard.edu</t>
  </si>
  <si>
    <t>228 University Rd, Cambridge, MA</t>
  </si>
  <si>
    <t>alice.johnson@harvard.edu</t>
  </si>
  <si>
    <t>michael.johnson@harvard.edu</t>
  </si>
  <si>
    <t>297 University Rd, Cambridge, MA</t>
  </si>
  <si>
    <t>124 University Rd, Cambridge, MA</t>
  </si>
  <si>
    <t>393 University Rd, Cambridge, MA</t>
  </si>
  <si>
    <t>emma.moore@harvard.edu</t>
  </si>
  <si>
    <t>246 University Rd, Cambridge, MA</t>
  </si>
  <si>
    <t>jane.anderson@harvard.edu</t>
  </si>
  <si>
    <t>333 University Rd, Cambridge, MA</t>
  </si>
  <si>
    <t>56 University Rd, Cambridge, MA</t>
  </si>
  <si>
    <t>319 University Rd, Cambridge, MA</t>
  </si>
  <si>
    <t>john.johnson@harvard.edu</t>
  </si>
  <si>
    <t>339 University Rd, Cambridge, MA</t>
  </si>
  <si>
    <t>Alice Wilson</t>
  </si>
  <si>
    <t>alice.wilson@harvard.edu</t>
  </si>
  <si>
    <t>481 University Rd, Cambridge, MA</t>
  </si>
  <si>
    <t>charlie.thomas@harvard.edu</t>
  </si>
  <si>
    <t>413 University Rd, Cambridge, MA</t>
  </si>
  <si>
    <t>charlie.moore@harvard.edu</t>
  </si>
  <si>
    <t>401 University Rd, Cambridge, MA</t>
  </si>
  <si>
    <t>257 University Rd, Cambridge, MA</t>
  </si>
  <si>
    <t>114 University Rd, Cambridge, MA</t>
  </si>
  <si>
    <t>371 University Rd, Cambridge, MA</t>
  </si>
  <si>
    <t>111 University Rd, Cambridge, MA</t>
  </si>
  <si>
    <t>Alice Moore</t>
  </si>
  <si>
    <t>alice.moore@harvard.edu</t>
  </si>
  <si>
    <t>133 University Rd, Cambridge, MA</t>
  </si>
  <si>
    <t>jane.miller@harvard.edu</t>
  </si>
  <si>
    <t>247 University Rd, Cambridge, MA</t>
  </si>
  <si>
    <t>jane.brown@harvard.edu</t>
  </si>
  <si>
    <t>michael.smith@harvard.edu</t>
  </si>
  <si>
    <t>294 University Rd, Cambridge, MA</t>
  </si>
  <si>
    <t>74 University Rd, Cambridge, MA</t>
  </si>
  <si>
    <t>sophia.moore@harvard.edu</t>
  </si>
  <si>
    <t>322 University Rd, Cambridge, MA</t>
  </si>
  <si>
    <t>180 University Rd, Cambridge, MA</t>
  </si>
  <si>
    <t>david.taylor@harvard.edu</t>
  </si>
  <si>
    <t>37 University Rd, Cambridge, MA</t>
  </si>
  <si>
    <t>100 University Rd, Cambridge, MA</t>
  </si>
  <si>
    <t>david.johnson@harvard.edu</t>
  </si>
  <si>
    <t>227 University Rd, Cambridge, MA</t>
  </si>
  <si>
    <t>emma.taylor@harvard.edu</t>
  </si>
  <si>
    <t>103 University Rd, Cambridge, MA</t>
  </si>
  <si>
    <t>108 University Rd, Cambridge, MA</t>
  </si>
  <si>
    <t>Charlie Wilson</t>
  </si>
  <si>
    <t>charlie.wilson@harvard.edu</t>
  </si>
  <si>
    <t>314 University Rd, Cambridge, MA</t>
  </si>
  <si>
    <t>emma.brown@harvard.edu</t>
  </si>
  <si>
    <t>244 University Rd, Cambridge, MA</t>
  </si>
  <si>
    <t>daniel.smith@mit.edu</t>
  </si>
  <si>
    <t>239 University Rd, Cambridge, MA</t>
  </si>
  <si>
    <t>david.anderson@mit.edu</t>
  </si>
  <si>
    <t>36 University Rd, Cambridge, MA</t>
  </si>
  <si>
    <t>david.taylor@mit.edu</t>
  </si>
  <si>
    <t>446 University Rd, Cambridge, MA</t>
  </si>
  <si>
    <t>sophia.johnson@mit.edu</t>
  </si>
  <si>
    <t>302 University Rd, Cambridge, MA</t>
  </si>
  <si>
    <t>alice.thomas@mit.edu</t>
  </si>
  <si>
    <t>351 University Rd, Cambridge, MA</t>
  </si>
  <si>
    <t>david.miller@mit.edu</t>
  </si>
  <si>
    <t>146 University Rd, Cambridge, MA</t>
  </si>
  <si>
    <t>michael.moore@mit.edu</t>
  </si>
  <si>
    <t>442 University Rd, Cambridge, MA</t>
  </si>
  <si>
    <t>jane.moore@mit.edu</t>
  </si>
  <si>
    <t>254 University Rd, Cambridge, MA</t>
  </si>
  <si>
    <t>Daniel Brown</t>
  </si>
  <si>
    <t>daniel.brown@mit.edu</t>
  </si>
  <si>
    <t>304 University Rd, Cambridge, MA</t>
  </si>
  <si>
    <t>alice.taylor@mit.edu</t>
  </si>
  <si>
    <t>335 University Rd, Cambridge, MA</t>
  </si>
  <si>
    <t>jane.davis@mit.edu</t>
  </si>
  <si>
    <t>198 University Rd, Cambridge, MA</t>
  </si>
  <si>
    <t>david.davis@mit.edu</t>
  </si>
  <si>
    <t>188 University Rd, Cambridge, MA</t>
  </si>
  <si>
    <t>charlie.wilson@mit.edu</t>
  </si>
  <si>
    <t>68 University Rd, Cambridge, MA</t>
  </si>
  <si>
    <t>emma.brown@mit.edu</t>
  </si>
  <si>
    <t>408 University Rd, Cambridge, MA</t>
  </si>
  <si>
    <t>john.wilson@mit.edu</t>
  </si>
  <si>
    <t>154 University Rd, Cambridge, MA</t>
  </si>
  <si>
    <t>sophia.thomas@mit.edu</t>
  </si>
  <si>
    <t>356 University Rd, Cambridge, MA</t>
  </si>
  <si>
    <t>daniel.anderson@mit.edu</t>
  </si>
  <si>
    <t>344 University Rd, Cambridge, MA</t>
  </si>
  <si>
    <t>charlie.thomas@mit.edu</t>
  </si>
  <si>
    <t>charlie.anderson@mit.edu</t>
  </si>
  <si>
    <t>daniel.thomas@mit.edu</t>
  </si>
  <si>
    <t>alice.brown@mit.edu</t>
  </si>
  <si>
    <t>6 University Rd, Cambridge, MA</t>
  </si>
  <si>
    <t>Michael Wilson</t>
  </si>
  <si>
    <t>michael.wilson@mit.edu</t>
  </si>
  <si>
    <t>465 University Rd, Cambridge, MA</t>
  </si>
  <si>
    <t>374 University Rd, Cambridge, MA</t>
  </si>
  <si>
    <t>emma.wilson@mit.edu</t>
  </si>
  <si>
    <t>john.anderson@mit.edu</t>
  </si>
  <si>
    <t>271 University Rd, Cambridge, MA</t>
  </si>
  <si>
    <t>emma.moore@mit.edu</t>
  </si>
  <si>
    <t>bob.johnson@mit.edu</t>
  </si>
  <si>
    <t>125 University Rd, Cambridge, MA</t>
  </si>
  <si>
    <t>alice.smith@mit.edu</t>
  </si>
  <si>
    <t>238 University Rd, Cambridge, MA</t>
  </si>
  <si>
    <t>145 University Rd, Cambridge, MA</t>
  </si>
  <si>
    <t>347 University Rd, Cambridge, MA</t>
  </si>
  <si>
    <t>sophia.taylor@mit.edu</t>
  </si>
  <si>
    <t>278 University Rd, Cambridge, MA</t>
  </si>
  <si>
    <t>242 University Rd, Cambridge, MA</t>
  </si>
  <si>
    <t>Sophia Davis</t>
  </si>
  <si>
    <t>sophia.davis@mit.edu</t>
  </si>
  <si>
    <t>268 University Rd, Cambridge, MA</t>
  </si>
  <si>
    <t>alice.davis@mit.edu</t>
  </si>
  <si>
    <t>468 University Rd, Cambridge, MA</t>
  </si>
  <si>
    <t>john.taylor@mit.edu</t>
  </si>
  <si>
    <t>123 University Rd, Cambridge, MA</t>
  </si>
  <si>
    <t>alice.moore@mit.edu</t>
  </si>
  <si>
    <t>299 University Rd, Cambridge, MA</t>
  </si>
  <si>
    <t>Bob Thomas</t>
  </si>
  <si>
    <t>bob.thomas@mit.edu</t>
  </si>
  <si>
    <t>164 University Rd, Cambridge, MA</t>
  </si>
  <si>
    <t>431 University Rd, Cambridge, MA</t>
  </si>
  <si>
    <t>michael.taylor@mit.edu</t>
  </si>
  <si>
    <t>405 University Rd, Cambridge, MA</t>
  </si>
  <si>
    <t>216 University Rd, Cambridge, MA</t>
  </si>
  <si>
    <t>404 University Rd, Cambridge, MA</t>
  </si>
  <si>
    <t>alice.johnson@mit.edu</t>
  </si>
  <si>
    <t>28 University Rd, Cambridge, MA</t>
  </si>
  <si>
    <t>emma.miller@mit.edu</t>
  </si>
  <si>
    <t>sophia.smith@mit.edu</t>
  </si>
  <si>
    <t>340 University Rd, Cambridge, MA</t>
  </si>
  <si>
    <t>michael.smith@mit.edu</t>
  </si>
  <si>
    <t>daniel.moore@mit.edu</t>
  </si>
  <si>
    <t>245 University Rd, Cambridge, MA</t>
  </si>
  <si>
    <t>Alice Anderson</t>
  </si>
  <si>
    <t>alice.anderson@mit.edu</t>
  </si>
  <si>
    <t>157 University Rd, Cambridge, MA</t>
  </si>
  <si>
    <t>366 University Rd, Cambridge, MA</t>
  </si>
  <si>
    <t>107 University Rd, Cambridge, MA</t>
  </si>
  <si>
    <t>charlie.miller@mit.edu</t>
  </si>
  <si>
    <t>85 University Rd, Cambridge, MA</t>
  </si>
  <si>
    <t>emma.anderson@mit.edu</t>
  </si>
  <si>
    <t>193 University Rd, Cambridge, MA</t>
  </si>
  <si>
    <t>121 University Rd, Cambridge, MA</t>
  </si>
  <si>
    <t>bob.brown@mit.edu</t>
  </si>
  <si>
    <t>alice.miller@mit.edu</t>
  </si>
  <si>
    <t>46 University Rd, Cambridge, MA</t>
  </si>
  <si>
    <t>jane.anderson@mit.edu</t>
  </si>
  <si>
    <t>Sophia Wilson</t>
  </si>
  <si>
    <t>sophia.wilson@mit.edu</t>
  </si>
  <si>
    <t>65 University Rd, Cambridge, MA</t>
  </si>
  <si>
    <t>173 University Rd, Cambridge, MA</t>
  </si>
  <si>
    <t>emma.taylor@mit.edu</t>
  </si>
  <si>
    <t>474 University Rd, Cambridge, MA</t>
  </si>
  <si>
    <t>130 University Rd, Cambridge, MA</t>
  </si>
  <si>
    <t>michael.johnson@mit.edu</t>
  </si>
  <si>
    <t>231 University Rd, Cambridge, MA</t>
  </si>
  <si>
    <t>charlie.brown@mit.edu</t>
  </si>
  <si>
    <t>282 University Rd, Cambridge, MA</t>
  </si>
  <si>
    <t>daniel.wilson@mit.edu</t>
  </si>
  <si>
    <t>203 University Rd, Cambridge, MA</t>
  </si>
  <si>
    <t>jane.wilson@mit.edu</t>
  </si>
  <si>
    <t>495 University Rd, Cambridge, MA</t>
  </si>
  <si>
    <t>john.thomas@ox.ac.uk</t>
  </si>
  <si>
    <t>386 University Rd, Oxford, UK</t>
  </si>
  <si>
    <t>daniel.wilson@ox.ac.uk</t>
  </si>
  <si>
    <t>317 University Rd, Oxford, UK</t>
  </si>
  <si>
    <t>michael.davis@ox.ac.uk</t>
  </si>
  <si>
    <t>403 University Rd, Oxford, UK</t>
  </si>
  <si>
    <t>david.anderson@ox.ac.uk</t>
  </si>
  <si>
    <t>195 University Rd, Oxford, UK</t>
  </si>
  <si>
    <t>charlie.brown@ox.ac.uk</t>
  </si>
  <si>
    <t>489 University Rd, Oxford, UK</t>
  </si>
  <si>
    <t>110 University Rd, Oxford, UK</t>
  </si>
  <si>
    <t>emma.moore@ox.ac.uk</t>
  </si>
  <si>
    <t>329 University Rd, Oxford, UK</t>
  </si>
  <si>
    <t>david.brown@ox.ac.uk</t>
  </si>
  <si>
    <t>212 University Rd, Oxford, UK</t>
  </si>
  <si>
    <t>alice.smith@ox.ac.uk</t>
  </si>
  <si>
    <t>198 University Rd, Oxford, UK</t>
  </si>
  <si>
    <t>sophia.smith@ox.ac.uk</t>
  </si>
  <si>
    <t>252 University Rd, Oxford, UK</t>
  </si>
  <si>
    <t>david.moore@ox.ac.uk</t>
  </si>
  <si>
    <t>224 University Rd, Oxford, UK</t>
  </si>
  <si>
    <t>jane.brown@ox.ac.uk</t>
  </si>
  <si>
    <t>253 University Rd, Oxford, UK</t>
  </si>
  <si>
    <t>jane.davis@ox.ac.uk</t>
  </si>
  <si>
    <t>charlie.thomas@ox.ac.uk</t>
  </si>
  <si>
    <t>202 University Rd, Oxford, UK</t>
  </si>
  <si>
    <t>john.smith@ox.ac.uk</t>
  </si>
  <si>
    <t>159 University Rd, Oxford, UK</t>
  </si>
  <si>
    <t>alice.miller@ox.ac.uk</t>
  </si>
  <si>
    <t>8 University Rd, Oxford, UK</t>
  </si>
  <si>
    <t>jane.miller@ox.ac.uk</t>
  </si>
  <si>
    <t>217 University Rd, Oxford, UK</t>
  </si>
  <si>
    <t>84 University Rd, Oxford, UK</t>
  </si>
  <si>
    <t>emma.brown@ox.ac.uk</t>
  </si>
  <si>
    <t>91 University Rd, Oxford, UK</t>
  </si>
  <si>
    <t>emma.thomas@ox.ac.uk</t>
  </si>
  <si>
    <t>6 University Rd, Oxford, UK</t>
  </si>
  <si>
    <t>alice.thomas@ox.ac.uk</t>
  </si>
  <si>
    <t>472 University Rd, Oxford, UK</t>
  </si>
  <si>
    <t>charlie.moore@ox.ac.uk</t>
  </si>
  <si>
    <t>437 University Rd, Oxford, UK</t>
  </si>
  <si>
    <t>charlie.miller@ox.ac.uk</t>
  </si>
  <si>
    <t>149 University Rd, Oxford, UK</t>
  </si>
  <si>
    <t>alice.anderson@ox.ac.uk</t>
  </si>
  <si>
    <t>418 University Rd, Oxford, UK</t>
  </si>
  <si>
    <t>alice.brown@ox.ac.uk</t>
  </si>
  <si>
    <t>465 University Rd, Oxford, UK</t>
  </si>
  <si>
    <t>emma.miller@ox.ac.uk</t>
  </si>
  <si>
    <t>499 University Rd, Oxford, UK</t>
  </si>
  <si>
    <t>michael.miller@ox.ac.uk</t>
  </si>
  <si>
    <t>192 University Rd, Oxford, UK</t>
  </si>
  <si>
    <t>289 University Rd, Oxford, UK</t>
  </si>
  <si>
    <t>318 University Rd, Oxford, UK</t>
  </si>
  <si>
    <t>michael.thomas@ox.ac.uk</t>
  </si>
  <si>
    <t>57 University Rd, Oxford, UK</t>
  </si>
  <si>
    <t>sophia.taylor@ox.ac.uk</t>
  </si>
  <si>
    <t>314 University Rd, Oxford, UK</t>
  </si>
  <si>
    <t>daniel.taylor@ox.ac.uk</t>
  </si>
  <si>
    <t>440 University Rd, Oxford, UK</t>
  </si>
  <si>
    <t>sophia.brown@ox.ac.uk</t>
  </si>
  <si>
    <t>234 University Rd, Oxford, UK</t>
  </si>
  <si>
    <t>265 University Rd, Oxford, UK</t>
  </si>
  <si>
    <t>210 University Rd, Oxford, UK</t>
  </si>
  <si>
    <t>daniel.brown@ox.ac.uk</t>
  </si>
  <si>
    <t>123 University Rd, Oxford, UK</t>
  </si>
  <si>
    <t>30 University Rd, Oxford, UK</t>
  </si>
  <si>
    <t>emma.smith@ox.ac.uk</t>
  </si>
  <si>
    <t>372 University Rd, Oxford, UK</t>
  </si>
  <si>
    <t>alice.taylor@ox.ac.uk</t>
  </si>
  <si>
    <t>324 University Rd, Oxford, UK</t>
  </si>
  <si>
    <t>alice.davis@ox.ac.uk</t>
  </si>
  <si>
    <t>38 University Rd, Oxford, UK</t>
  </si>
  <si>
    <t>david.miller@ox.ac.uk</t>
  </si>
  <si>
    <t>david.johnson@ox.ac.uk</t>
  </si>
  <si>
    <t>486 University Rd, Oxford, UK</t>
  </si>
  <si>
    <t>emma.taylor@ox.ac.uk</t>
  </si>
  <si>
    <t>43 University Rd, Oxford, UK</t>
  </si>
  <si>
    <t>bob.miller@ox.ac.uk</t>
  </si>
  <si>
    <t>399 University Rd, Oxford, UK</t>
  </si>
  <si>
    <t>480 University Rd, Oxford, UK</t>
  </si>
  <si>
    <t>bob.johnson@ox.ac.uk</t>
  </si>
  <si>
    <t>197 University Rd, Oxford, UK</t>
  </si>
  <si>
    <t>alice.johnson@ox.ac.uk</t>
  </si>
  <si>
    <t>125 University Rd, Oxford, UK</t>
  </si>
  <si>
    <t>137 University Rd, Oxford, UK</t>
  </si>
  <si>
    <t>164 University Rd, Oxford, UK</t>
  </si>
  <si>
    <t>john.johnson@ox.ac.uk</t>
  </si>
  <si>
    <t>64 University Rd, Oxford, UK</t>
  </si>
  <si>
    <t>charlie.anderson@ox.ac.uk</t>
  </si>
  <si>
    <t>147 University Rd, Oxford, UK</t>
  </si>
  <si>
    <t>michael.johnson@ox.ac.uk</t>
  </si>
  <si>
    <t>240 University Rd, Oxford, UK</t>
  </si>
  <si>
    <t>jane.wilson@ox.ac.uk</t>
  </si>
  <si>
    <t>223 University Rd, Oxford, UK</t>
  </si>
  <si>
    <t>232 University Rd, Oxford, UK</t>
  </si>
  <si>
    <t>bob.brown@ox.ac.uk</t>
  </si>
  <si>
    <t>184 University Rd, Oxford, UK</t>
  </si>
  <si>
    <t>david.thomas@ox.ac.uk</t>
  </si>
  <si>
    <t>209 University Rd, Oxford, UK</t>
  </si>
  <si>
    <t>daniel.smith@ox.ac.uk</t>
  </si>
  <si>
    <t>264 University Rd, Oxford, UK</t>
  </si>
  <si>
    <t>bob.anderson@ox.ac.uk</t>
  </si>
  <si>
    <t>165 University Rd, Oxford, UK</t>
  </si>
  <si>
    <t>bob.smith@ox.ac.uk</t>
  </si>
  <si>
    <t>31 University Rd, Oxford, UK</t>
  </si>
  <si>
    <t>93 University Rd, Oxford, UK</t>
  </si>
  <si>
    <t>274 University Rd, Oxford, UK</t>
  </si>
  <si>
    <t>431 University Rd, Oxford, UK</t>
  </si>
  <si>
    <t>368 University Rd, Oxford, UK</t>
  </si>
  <si>
    <t>177 University Rd, Oxford, UK</t>
  </si>
  <si>
    <t>Bob Taylor</t>
  </si>
  <si>
    <t>bob.taylor@princeton.edu</t>
  </si>
  <si>
    <t>68 University Rd, Princeton, NJ</t>
  </si>
  <si>
    <t>jane.thomas@princeton.edu</t>
  </si>
  <si>
    <t>403 University Rd, Princeton, NJ</t>
  </si>
  <si>
    <t>emma.miller@princeton.edu</t>
  </si>
  <si>
    <t>84 University Rd, Princeton, NJ</t>
  </si>
  <si>
    <t>jane.smith@princeton.edu</t>
  </si>
  <si>
    <t>205 University Rd, Princeton, NJ</t>
  </si>
  <si>
    <t>emma.moore@princeton.edu</t>
  </si>
  <si>
    <t>193 University Rd, Princeton, NJ</t>
  </si>
  <si>
    <t>bob.brown@princeton.edu</t>
  </si>
  <si>
    <t>122 University Rd, Princeton, NJ</t>
  </si>
  <si>
    <t>charlie.wilson@princeton.edu</t>
  </si>
  <si>
    <t>101 University Rd, Princeton, NJ</t>
  </si>
  <si>
    <t>alice.johnson@princeton.edu</t>
  </si>
  <si>
    <t>121 University Rd, Princeton, NJ</t>
  </si>
  <si>
    <t>david.thomas@princeton.edu</t>
  </si>
  <si>
    <t>389 University Rd, Princeton, NJ</t>
  </si>
  <si>
    <t>alice.moore@princeton.edu</t>
  </si>
  <si>
    <t>89 University Rd, Princeton, NJ</t>
  </si>
  <si>
    <t>237 University Rd, Princeton, NJ</t>
  </si>
  <si>
    <t>daniel.taylor@princeton.edu</t>
  </si>
  <si>
    <t>474 University Rd, Princeton, NJ</t>
  </si>
  <si>
    <t>charlie.taylor@princeton.edu</t>
  </si>
  <si>
    <t>257 University Rd, Princeton, NJ</t>
  </si>
  <si>
    <t>daniel.thomas@princeton.edu</t>
  </si>
  <si>
    <t>491 University Rd, Princeton, NJ</t>
  </si>
  <si>
    <t>sophia.taylor@princeton.edu</t>
  </si>
  <si>
    <t>41 University Rd, Princeton, NJ</t>
  </si>
  <si>
    <t>daniel.brown@princeton.edu</t>
  </si>
  <si>
    <t>353 University Rd, Princeton, NJ</t>
  </si>
  <si>
    <t>245 University Rd, Princeton, NJ</t>
  </si>
  <si>
    <t>michael.johnson@princeton.edu</t>
  </si>
  <si>
    <t>428 University Rd, Princeton, NJ</t>
  </si>
  <si>
    <t>daniel.anderson@princeton.edu</t>
  </si>
  <si>
    <t>100 University Rd, Princeton, NJ</t>
  </si>
  <si>
    <t>bob.moore@princeton.edu</t>
  </si>
  <si>
    <t>206 University Rd, Princeton, NJ</t>
  </si>
  <si>
    <t>emma.taylor@princeton.edu</t>
  </si>
  <si>
    <t>284 University Rd, Princeton, NJ</t>
  </si>
  <si>
    <t>jane.davis@princeton.edu</t>
  </si>
  <si>
    <t>40 University Rd, Princeton, NJ</t>
  </si>
  <si>
    <t>sophia.miller@princeton.edu</t>
  </si>
  <si>
    <t>11 University Rd, Princeton, NJ</t>
  </si>
  <si>
    <t>michael.moore@princeton.edu</t>
  </si>
  <si>
    <t>43 University Rd, Princeton, NJ</t>
  </si>
  <si>
    <t>189 University Rd, Princeton, NJ</t>
  </si>
  <si>
    <t>daniel.johnson@princeton.edu</t>
  </si>
  <si>
    <t>358 University Rd, Princeton, NJ</t>
  </si>
  <si>
    <t>michael.wilson@princeton.edu</t>
  </si>
  <si>
    <t>330 University Rd, Princeton, NJ</t>
  </si>
  <si>
    <t>david.moore@princeton.edu</t>
  </si>
  <si>
    <t>307 University Rd, Princeton, NJ</t>
  </si>
  <si>
    <t>bob.smith@princeton.edu</t>
  </si>
  <si>
    <t>305 University Rd, Princeton, NJ</t>
  </si>
  <si>
    <t>john.thomas@princeton.edu</t>
  </si>
  <si>
    <t>16 University Rd, Princeton, NJ</t>
  </si>
  <si>
    <t>sophia.wilson@princeton.edu</t>
  </si>
  <si>
    <t>433 University Rd, Princeton, NJ</t>
  </si>
  <si>
    <t>alice.davis@princeton.edu</t>
  </si>
  <si>
    <t>453 University Rd, Princeton, NJ</t>
  </si>
  <si>
    <t>55 University Rd, Princeton, NJ</t>
  </si>
  <si>
    <t>john.taylor@princeton.edu</t>
  </si>
  <si>
    <t>109 University Rd, Princeton, NJ</t>
  </si>
  <si>
    <t>michael.miller@princeton.edu</t>
  </si>
  <si>
    <t>488 University Rd, Princeton, NJ</t>
  </si>
  <si>
    <t>emma.anderson@princeton.edu</t>
  </si>
  <si>
    <t>435 University Rd, Princeton, NJ</t>
  </si>
  <si>
    <t>david.davis@princeton.edu</t>
  </si>
  <si>
    <t>279 University Rd, Princeton, NJ</t>
  </si>
  <si>
    <t>charlie.davis@princeton.edu</t>
  </si>
  <si>
    <t>27 University Rd, Princeton, NJ</t>
  </si>
  <si>
    <t>david.wilson@princeton.edu</t>
  </si>
  <si>
    <t>271 University Rd, Princeton, NJ</t>
  </si>
  <si>
    <t>394 University Rd, Princeton, NJ</t>
  </si>
  <si>
    <t>michael.thomas@princeton.edu</t>
  </si>
  <si>
    <t>181 University Rd, Princeton, NJ</t>
  </si>
  <si>
    <t>sophia.anderson@princeton.edu</t>
  </si>
  <si>
    <t>246 University Rd, Princeton, NJ</t>
  </si>
  <si>
    <t>210 University Rd, Princeton, NJ</t>
  </si>
  <si>
    <t>daniel.miller@princeton.edu</t>
  </si>
  <si>
    <t>Urban Planning</t>
  </si>
  <si>
    <t>john.smith@stanford.edu</t>
  </si>
  <si>
    <t>336 University Rd, Stanford, CA</t>
  </si>
  <si>
    <t>B.Arch</t>
  </si>
  <si>
    <t>alice.thomas@stanford.edu</t>
  </si>
  <si>
    <t>475 University Rd, Stanford, CA</t>
  </si>
  <si>
    <t>charlie.davis@stanford.edu</t>
  </si>
  <si>
    <t>381 University Rd, Stanford, CA</t>
  </si>
  <si>
    <t>Architecture</t>
  </si>
  <si>
    <t>jane.taylor@stanford.edu</t>
  </si>
  <si>
    <t>5 University Rd, Stanford, CA</t>
  </si>
  <si>
    <t>michael.davis@stanford.edu</t>
  </si>
  <si>
    <t>230 University Rd, Stanford, CA</t>
  </si>
  <si>
    <t>daniel.smith@stanford.edu</t>
  </si>
  <si>
    <t>353 University Rd, Stanford, CA</t>
  </si>
  <si>
    <t>Interior Design</t>
  </si>
  <si>
    <t>michael.moore@stanford.edu</t>
  </si>
  <si>
    <t>391 University Rd, Stanford, CA</t>
  </si>
  <si>
    <t>john.moore@stanford.edu</t>
  </si>
  <si>
    <t>338 University Rd, Stanford, CA</t>
  </si>
  <si>
    <t>john.brown@stanford.edu</t>
  </si>
  <si>
    <t>379 University Rd, Stanford, CA</t>
  </si>
  <si>
    <t>Cyber Security</t>
  </si>
  <si>
    <t>david.taylor@stanford.edu</t>
  </si>
  <si>
    <t>10 University Rd, Stanford, CA</t>
  </si>
  <si>
    <t>BCA</t>
  </si>
  <si>
    <t>Clinical Research</t>
  </si>
  <si>
    <t>michael.wilson@stanford.edu</t>
  </si>
  <si>
    <t>118 University Rd, Stanford, CA</t>
  </si>
  <si>
    <t>B.Pharm</t>
  </si>
  <si>
    <t>charlie.wilson@stanford.edu</t>
  </si>
  <si>
    <t>461 University Rd, Stanford, CA</t>
  </si>
  <si>
    <t>michael.anderson@stanford.edu</t>
  </si>
  <si>
    <t>279 University Rd, Stanford, CA</t>
  </si>
  <si>
    <t>jane.wilson@stanford.edu</t>
  </si>
  <si>
    <t>412 University Rd, Stanford, CA</t>
  </si>
  <si>
    <t>Computer Applications</t>
  </si>
  <si>
    <t>david.davis@stanford.edu</t>
  </si>
  <si>
    <t>129 University Rd, Stanford, CA</t>
  </si>
  <si>
    <t>Pharmacology</t>
  </si>
  <si>
    <t>emma.anderson@stanford.edu</t>
  </si>
  <si>
    <t>170 University Rd, Stanford, CA</t>
  </si>
  <si>
    <t>AI &amp; ML</t>
  </si>
  <si>
    <t>john.anderson@stanford.edu</t>
  </si>
  <si>
    <t>34 University Rd, Stanford, CA</t>
  </si>
  <si>
    <t>sophia.anderson@stanford.edu</t>
  </si>
  <si>
    <t>146 University Rd, Stanford, CA</t>
  </si>
  <si>
    <t>Pharmaceutical Chemistry</t>
  </si>
  <si>
    <t>alice.smith@stanford.edu</t>
  </si>
  <si>
    <t>447 University Rd, Stanford, CA</t>
  </si>
  <si>
    <t>charlie.taylor@stanford.edu</t>
  </si>
  <si>
    <t>178 University Rd, Stanford, CA</t>
  </si>
  <si>
    <t>emma.johnson@stanford.edu</t>
  </si>
  <si>
    <t>171 University Rd, Stanford, CA</t>
  </si>
  <si>
    <t>244 University Rd, Stanford, CA</t>
  </si>
  <si>
    <t>bob.johnson@stanford.edu</t>
  </si>
  <si>
    <t>98 University Rd, Stanford, CA</t>
  </si>
  <si>
    <t>268 University Rd, Stanford, CA</t>
  </si>
  <si>
    <t>sophia.brown@stanford.edu</t>
  </si>
  <si>
    <t>112 University Rd, Stanford, CA</t>
  </si>
  <si>
    <t>486 University Rd, Stanford, CA</t>
  </si>
  <si>
    <t>charlie.johnson@stanford.edu</t>
  </si>
  <si>
    <t>107 University Rd, Stanford, CA</t>
  </si>
  <si>
    <t>emma.moore@stanford.edu</t>
  </si>
  <si>
    <t>210 University Rd, Stanford, CA</t>
  </si>
  <si>
    <t>Software Development</t>
  </si>
  <si>
    <t>bob.wilson@stanford.edu</t>
  </si>
  <si>
    <t>134 University Rd, Stanford, CA</t>
  </si>
  <si>
    <t>david.thomas@stanford.edu</t>
  </si>
  <si>
    <t>348 University Rd, Stanford, CA</t>
  </si>
  <si>
    <t>113 University Rd, Stanford, CA</t>
  </si>
  <si>
    <t>john.wilson@stanford.edu</t>
  </si>
  <si>
    <t>208 University Rd, Stanford, CA</t>
  </si>
  <si>
    <t>Emma Davis</t>
  </si>
  <si>
    <t>emma.davis@stanford.edu</t>
  </si>
  <si>
    <t>121 University Rd, Stanford, CA</t>
  </si>
  <si>
    <t>john.taylor@stanford.edu</t>
  </si>
  <si>
    <t>david.miller@stanford.edu</t>
  </si>
  <si>
    <t>380 University Rd, Stanford, CA</t>
  </si>
  <si>
    <t>alice.miller@stanford.edu</t>
  </si>
  <si>
    <t>193 University Rd, Stanford, CA</t>
  </si>
  <si>
    <t>237 University Rd, Stanford, CA</t>
  </si>
  <si>
    <t>david.anderson@stanford.edu</t>
  </si>
  <si>
    <t>324 University Rd, Stanford, CA</t>
  </si>
  <si>
    <t>alice.brown@stanford.edu</t>
  </si>
  <si>
    <t>17 University Rd, Stanford, CA</t>
  </si>
  <si>
    <t>83 University Rd, Stanford, CA</t>
  </si>
  <si>
    <t>daniel.thomas@stanford.edu</t>
  </si>
  <si>
    <t>99 University Rd, Stanford, CA</t>
  </si>
  <si>
    <t>david.brown@stanford.edu</t>
  </si>
  <si>
    <t>93 University Rd, Stanford, CA</t>
  </si>
  <si>
    <t>384 University Rd, Stanford, CA</t>
  </si>
  <si>
    <t>emma.smith@stanford.edu</t>
  </si>
  <si>
    <t>231 University Rd, Stanford, CA</t>
  </si>
  <si>
    <t>michael.thomas@stanford.edu</t>
  </si>
  <si>
    <t>309 University Rd, Stanford, CA</t>
  </si>
  <si>
    <t>john.davis@stanford.edu</t>
  </si>
  <si>
    <t>108 University Rd, Stanford, CA</t>
  </si>
  <si>
    <t>190 University Rd, Stanford, CA</t>
  </si>
  <si>
    <t>82 University Rd, Stanford, CA</t>
  </si>
  <si>
    <t>jane.thomas@stanford.edu</t>
  </si>
  <si>
    <t>175 University Rd, Stanford, CA</t>
  </si>
  <si>
    <t>emma.miller@stanford.edu</t>
  </si>
  <si>
    <t>charlie.moore@stanford.edu</t>
  </si>
  <si>
    <t>291 University Rd, Stanford, CA</t>
  </si>
  <si>
    <t>sophia.thomas@stanford.edu</t>
  </si>
  <si>
    <t>494 University Rd, Stanford, CA</t>
  </si>
  <si>
    <t>emma.brown@stanford.edu</t>
  </si>
  <si>
    <t>495 University Rd, Stanford, CA</t>
  </si>
  <si>
    <t>emma.taylor@stanford.edu</t>
  </si>
  <si>
    <t>79 University Rd, Stanford, CA</t>
  </si>
  <si>
    <t>michael.brown@stanford.edu</t>
  </si>
  <si>
    <t>151 University Rd, Stanford, CA</t>
  </si>
  <si>
    <t>alice.anderson@stanford.edu</t>
  </si>
  <si>
    <t>321 University Rd, Stanford, CA</t>
  </si>
  <si>
    <t>emma.wilson@stanford.edu</t>
  </si>
  <si>
    <t>474 University Rd, Stanford, CA</t>
  </si>
  <si>
    <t>jane.brown@stanford.edu</t>
  </si>
  <si>
    <t>448 University Rd, Stanford, CA</t>
  </si>
  <si>
    <t>397 University Rd, Stanford, CA</t>
  </si>
  <si>
    <t>53 University Rd, Stanford, CA</t>
  </si>
  <si>
    <t>458 University Rd, Stanford, CA</t>
  </si>
  <si>
    <t>95 University Rd, Stanford, CA</t>
  </si>
  <si>
    <t>charlie.smith@stanford.edu</t>
  </si>
  <si>
    <t>12 University Rd, Stanford, CA</t>
  </si>
  <si>
    <t>john.miller@stanford.edu</t>
  </si>
  <si>
    <t>469 University Rd, Stanford, CA</t>
  </si>
  <si>
    <t>emma.thomas@stanford.edu</t>
  </si>
  <si>
    <t>261 University Rd, Stanford, CA</t>
  </si>
  <si>
    <t>daniel.wilson@stanford.edu</t>
  </si>
  <si>
    <t>232 University Rd, Stanford, CA</t>
  </si>
  <si>
    <t>266 University Rd, Stanford, CA</t>
  </si>
  <si>
    <t>256 University Rd, Stanford, CA</t>
  </si>
  <si>
    <t>271 University Rd, Stanford, CA</t>
  </si>
  <si>
    <t>daniel.johnson@stanford.edu</t>
  </si>
  <si>
    <t>246 University Rd, Stanford, CA</t>
  </si>
  <si>
    <t>jane.anderson@stanford.edu</t>
  </si>
  <si>
    <t>234 University Rd, Stanford, CA</t>
  </si>
  <si>
    <t>368 University Rd, Stanford, CA</t>
  </si>
  <si>
    <t>sophia.wilson@stanford.edu</t>
  </si>
  <si>
    <t>317 University Rd, Stanford, CA</t>
  </si>
  <si>
    <t>40 University Rd, Stanford, CA</t>
  </si>
  <si>
    <t>238 University Rd, Stanford, CA</t>
  </si>
  <si>
    <t>220 University Rd, Stanford, CA</t>
  </si>
  <si>
    <t>177 University Rd, Stanford, CA</t>
  </si>
  <si>
    <t>408 University Rd, Stanford, CA</t>
  </si>
  <si>
    <t>bob.thomas@stanford.edu</t>
  </si>
  <si>
    <t>91 University Rd, Stanford, CA</t>
  </si>
  <si>
    <t>14 University Rd, Stanford, CA</t>
  </si>
  <si>
    <t>bob.miller@stanford.edu</t>
  </si>
  <si>
    <t>165 University Rd, Stanford, CA</t>
  </si>
  <si>
    <t>245 University Rd, Stanford, CA</t>
  </si>
  <si>
    <t>sophia.smith@stanford.edu</t>
  </si>
  <si>
    <t>424 University Rd, Stanford, CA</t>
  </si>
  <si>
    <t>jane.davis@stanford.edu</t>
  </si>
  <si>
    <t>154 University Rd, Stanford, CA</t>
  </si>
  <si>
    <t>123 University Rd, Stanford, CA</t>
  </si>
  <si>
    <t>418 University Rd, Stanford, CA</t>
  </si>
  <si>
    <t>bob.taylor@stanford.edu</t>
  </si>
  <si>
    <t>23 University Rd, Stanford, CA</t>
  </si>
  <si>
    <t>466 University Rd, Stanford, CA</t>
  </si>
  <si>
    <t>115 University Rd, Stanford, CA</t>
  </si>
  <si>
    <t>david.wilson@stanford.edu</t>
  </si>
  <si>
    <t>270 University Rd, Stanford, CA</t>
  </si>
  <si>
    <t>jane.moore@stanford.edu</t>
  </si>
  <si>
    <t>485 University Rd, Stanford, CA</t>
  </si>
  <si>
    <t>481 University Rd, Stanford, CA</t>
  </si>
  <si>
    <t>jane.miller@stanford.edu</t>
  </si>
  <si>
    <t>13 University Rd, Stanford, CA</t>
  </si>
  <si>
    <t>john.thomas@stanford.edu</t>
  </si>
  <si>
    <t>69 University Rd, Stanford, CA</t>
  </si>
  <si>
    <t>david.moore@stanford.edu</t>
  </si>
  <si>
    <t>16 University Rd, Stanford, CA</t>
  </si>
  <si>
    <t>daniel.brown@stanford.edu</t>
  </si>
  <si>
    <t>427 University Rd, Stanford, CA</t>
  </si>
  <si>
    <t>alice.wilson@stanford.edu</t>
  </si>
  <si>
    <t>105 University Rd, Stanford, CA</t>
  </si>
  <si>
    <t>david.smith@stanford.edu</t>
  </si>
  <si>
    <t>254 University Rd, Stanford, CA</t>
  </si>
  <si>
    <t>charlie.miller@stanford.edu</t>
  </si>
  <si>
    <t>300 University Rd, Stanford, CA</t>
  </si>
  <si>
    <t>389 University Rd, Stanford, CA</t>
  </si>
  <si>
    <t>128 University Rd, Stanford, CA</t>
  </si>
  <si>
    <t>482 University Rd, Stanford, CA</t>
  </si>
  <si>
    <t>402 University Rd, Stanford, CA</t>
  </si>
  <si>
    <t>333 University Rd, Stanford, CA</t>
  </si>
  <si>
    <t>daniel.davis@stanford.edu</t>
  </si>
  <si>
    <t>483 University Rd, Stanford, CA</t>
  </si>
  <si>
    <t>101 University Rd, Stanford, CA</t>
  </si>
  <si>
    <t>daniel.taylor@stanford.edu</t>
  </si>
  <si>
    <t>162 University Rd, Stanford, CA</t>
  </si>
  <si>
    <t>62 University Rd, Stanford, CA</t>
  </si>
  <si>
    <t>david.johnson@stanford.edu</t>
  </si>
  <si>
    <t>197 University Rd, Stanford, CA</t>
  </si>
  <si>
    <t>daniel.miller@stanford.edu</t>
  </si>
  <si>
    <t>445 University Rd, Stanford, CA</t>
  </si>
  <si>
    <t>149 University Rd, Stanford, CA</t>
  </si>
  <si>
    <t>daniel.anderson@stanford.edu</t>
  </si>
  <si>
    <t>charlie.thomas@stanford.edu</t>
  </si>
  <si>
    <t>michael.taylor@stanford.edu</t>
  </si>
  <si>
    <t>35 University Rd, Stanford, CA</t>
  </si>
  <si>
    <t>215 University Rd, Stanford, CA</t>
  </si>
  <si>
    <t>54 University Rd, Stanford, CA</t>
  </si>
  <si>
    <t>212 University Rd, Stanford, CA</t>
  </si>
  <si>
    <t>jane.smith@stanford.edu</t>
  </si>
  <si>
    <t>308 University Rd, Stanford, CA</t>
  </si>
  <si>
    <t>sophia.taylor@stanford.edu</t>
  </si>
  <si>
    <t>6 University Rd, Stanford, CA</t>
  </si>
  <si>
    <t>sophia.davis@stanford.edu</t>
  </si>
  <si>
    <t>252 University Rd, Stanford, CA</t>
  </si>
  <si>
    <t>153 University Rd, Stanford, CA</t>
  </si>
  <si>
    <t>423 University Rd, Stanford, CA</t>
  </si>
  <si>
    <t>bob.davis@stanford.edu</t>
  </si>
  <si>
    <t>52 University Rd, Stanford, CA</t>
  </si>
  <si>
    <t>209 University Rd, Stanford, CA</t>
  </si>
  <si>
    <t>bob.moore@stanford.edu</t>
  </si>
  <si>
    <t>410 University Rd, Stanford, CA</t>
  </si>
  <si>
    <t>441 University Rd, Stanford, CA</t>
  </si>
  <si>
    <t>269 University Rd, Stanford, CA</t>
  </si>
  <si>
    <t>272 University Rd, Stanford, CA</t>
  </si>
  <si>
    <t>253 University Rd, Stanford, CA</t>
  </si>
  <si>
    <t>8 University Rd, Stanford, CA</t>
  </si>
  <si>
    <t>159 University Rd, Stanford, CA</t>
  </si>
  <si>
    <t>323 University Rd, Stanford, CA</t>
  </si>
  <si>
    <t>sophia.miller@stanford.edu</t>
  </si>
  <si>
    <t>499 University Rd, Stanford, CA</t>
  </si>
  <si>
    <t>127 University Rd, Stanford, CA</t>
  </si>
  <si>
    <t>312 University Rd, Stanford, CA</t>
  </si>
  <si>
    <t>339 University Rd, Stanford, CA</t>
  </si>
  <si>
    <t>214 University Rd, Stanford, CA</t>
  </si>
  <si>
    <t>473 University Rd, Stanford, CA</t>
  </si>
  <si>
    <t>426 University Rd, Stanford, CA</t>
  </si>
  <si>
    <t>227 University Rd, Stanford, CA</t>
  </si>
  <si>
    <t>262 University Rd, Stanford, CA</t>
  </si>
  <si>
    <t>alice.taylor@stanford.edu</t>
  </si>
  <si>
    <t>443 University Rd, Stanford, CA</t>
  </si>
  <si>
    <t>326 University Rd, Stanford, CA</t>
  </si>
  <si>
    <t>345 University Rd, Stanford, CA</t>
  </si>
  <si>
    <t>203 University Rd, Stanford, CA</t>
  </si>
  <si>
    <t>48 University Rd, Stanford, CA</t>
  </si>
  <si>
    <t>174 University Rd, Stanford, CA</t>
  </si>
  <si>
    <t>479 University Rd, Stanford, CA</t>
  </si>
  <si>
    <t>355 University Rd, Stanford, CA</t>
  </si>
  <si>
    <t>sophia.johnson@stanford.edu</t>
  </si>
  <si>
    <t>359 University Rd, Stanford, CA</t>
  </si>
  <si>
    <t>charlie.anderson@stanford.edu</t>
  </si>
  <si>
    <t>136 University Rd, Stanford, CA</t>
  </si>
  <si>
    <t>92 University Rd, Stanford, CA</t>
  </si>
  <si>
    <t>65 University Rd, Stanford, CA</t>
  </si>
  <si>
    <t>18 University Rd, Stanford, CA</t>
  </si>
  <si>
    <t>282 University Rd, Stanford, CA</t>
  </si>
  <si>
    <t>111 University Rd, Stanford, CA</t>
  </si>
  <si>
    <t>369 University Rd, Stanford, CA</t>
  </si>
  <si>
    <t>290 University Rd, Stanford, CA</t>
  </si>
  <si>
    <t>168 University Rd, Stanford, CA</t>
  </si>
  <si>
    <t>jane.johnson@stanford.edu</t>
  </si>
  <si>
    <t>251 University Rd, Stanford, CA</t>
  </si>
  <si>
    <t>michael.smith@stanford.edu</t>
  </si>
  <si>
    <t>199 University Rd, Stanford, CA</t>
  </si>
  <si>
    <t>433 University Rd, Stanford, CA</t>
  </si>
  <si>
    <t>360 University Rd, Stanford, CA</t>
  </si>
  <si>
    <t>453 University Rd, Stanford, CA</t>
  </si>
  <si>
    <t>109 University Rd, Stanford, CA</t>
  </si>
  <si>
    <t>346 University Rd, Stanford, CA</t>
  </si>
  <si>
    <t>382 University Rd, Stanford, CA</t>
  </si>
  <si>
    <t>102 University Rd, Stanford, CA</t>
  </si>
  <si>
    <t>438 University Rd, Stanford, CA</t>
  </si>
  <si>
    <t>422 University Rd, Stanford, CA</t>
  </si>
  <si>
    <t>407 University Rd, Stanford, CA</t>
  </si>
  <si>
    <t>492 University Rd, Stanford, CA</t>
  </si>
  <si>
    <t>259 University Rd, Stanford, CA</t>
  </si>
  <si>
    <t>357 University Rd, Stanford, CA</t>
  </si>
  <si>
    <t>421 University Rd, Stanford, CA</t>
  </si>
  <si>
    <t>7 University Rd, Stanford, CA</t>
  </si>
  <si>
    <t>21 University Rd, Stanford, CA</t>
  </si>
  <si>
    <t>bob.smith@stanford.edu</t>
  </si>
  <si>
    <t>243 University Rd, Stanford, CA</t>
  </si>
  <si>
    <t>135 University Rd, Stanford, CA</t>
  </si>
  <si>
    <t>496 University Rd, Stanford, CA</t>
  </si>
  <si>
    <t>386 University Rd, Stanford, CA</t>
  </si>
  <si>
    <t>247 University Rd, Stanford, CA</t>
  </si>
  <si>
    <t>33 University Rd, Stanford, CA</t>
  </si>
  <si>
    <t>56 University Rd, Stanford, CA</t>
  </si>
  <si>
    <t>489 University Rd, Stanford, CA</t>
  </si>
  <si>
    <t>140 University Rd, Stanford, CA</t>
  </si>
  <si>
    <t>139 University Rd, Stanford, CA</t>
  </si>
  <si>
    <t>32 University Rd, Stanford, CA</t>
  </si>
  <si>
    <t>89 University Rd, Stanford, CA</t>
  </si>
  <si>
    <t>373 University Rd, Stanford, CA</t>
  </si>
  <si>
    <t>alice.moore@stanford.edu</t>
  </si>
  <si>
    <t>331 University Rd, Stanford, CA</t>
  </si>
  <si>
    <t>490 University Rd, Stanford, CA</t>
  </si>
  <si>
    <t>306 University Rd, Stanford, CA</t>
  </si>
  <si>
    <t>201 University Rd, Stanford, CA</t>
  </si>
  <si>
    <t>3 University Rd, Stanford, CA</t>
  </si>
  <si>
    <t>9 University Rd, Stanford, CA</t>
  </si>
  <si>
    <t>205 University Rd, Stanford, CA</t>
  </si>
  <si>
    <t>342 University Rd, Stanford, CA</t>
  </si>
  <si>
    <t>454 University Rd, Stanford, CA</t>
  </si>
  <si>
    <t>460 University Rd, Stanford, CA</t>
  </si>
  <si>
    <t>173 University Rd, Stanford, CA</t>
  </si>
  <si>
    <t>141 University Rd, Stanford, CA</t>
  </si>
  <si>
    <t>305 University Rd, Stanford, CA</t>
  </si>
  <si>
    <t>bob.anderson@stanford.edu</t>
  </si>
  <si>
    <t>4 University Rd, Stanford, CA</t>
  </si>
  <si>
    <t>daniel.moore@stanford.edu</t>
  </si>
  <si>
    <t>158 University Rd, Stanford, CA</t>
  </si>
  <si>
    <t>376 University Rd, Stanford, CA</t>
  </si>
  <si>
    <t>437 University Rd, Stanford, CA</t>
  </si>
  <si>
    <t>276 University Rd, Stanford, CA</t>
  </si>
  <si>
    <t>176 University Rd, Stanford, CA</t>
  </si>
  <si>
    <t>280 University Rd, Stanford, CA</t>
  </si>
  <si>
    <t>77 University Rd, Stanford, CA</t>
  </si>
  <si>
    <t>122 University Rd, Stanford, CA</t>
  </si>
  <si>
    <t>250 University Rd, Stanford, CA</t>
  </si>
  <si>
    <t>163 University Rd, Stanford, CA</t>
  </si>
  <si>
    <t>charlie.brown@stanford.edu</t>
  </si>
  <si>
    <t>472 University Rd, Stanford, CA</t>
  </si>
  <si>
    <t>john.johnson@stanford.edu</t>
  </si>
  <si>
    <t>390 University Rd, Stanford, CA</t>
  </si>
  <si>
    <t>97 University Rd, Stanford, CA</t>
  </si>
  <si>
    <t>370 University Rd, Stanford, CA</t>
  </si>
  <si>
    <t>285 University Rd, Stanford, CA</t>
  </si>
  <si>
    <t>228 University Rd, Stanford, CA</t>
  </si>
  <si>
    <t>24 University Rd, Stanford, CA</t>
  </si>
  <si>
    <t>415 University Rd, Stanford, CA</t>
  </si>
  <si>
    <t>161 University Rd, Stanford, CA</t>
  </si>
  <si>
    <t>73 University Rd, Stanford, CA</t>
  </si>
  <si>
    <t>47 University Rd, Stanford, CA</t>
  </si>
  <si>
    <t>224 University Rd, Stanford, CA</t>
  </si>
  <si>
    <t>491 University Rd, Stanford, CA</t>
  </si>
  <si>
    <t>274 University Rd, Stanford, CA</t>
  </si>
  <si>
    <t>383 University Rd, Stanford, CA</t>
  </si>
  <si>
    <t>329 University Rd, Stanford, CA</t>
  </si>
  <si>
    <t>76 University Rd, Stanford, CA</t>
  </si>
  <si>
    <t>310 University Rd, Stanford, CA</t>
  </si>
  <si>
    <t>351 University Rd, Stanford, CA</t>
  </si>
  <si>
    <t>67 University Rd, Stanford, CA</t>
  </si>
  <si>
    <t>440 University Rd, Stanford, CA</t>
  </si>
  <si>
    <t>403 University Rd, Stanford, CA</t>
  </si>
  <si>
    <t>257 University Rd, Stanford, CA</t>
  </si>
  <si>
    <t>181 University Rd, Stanford, CA</t>
  </si>
  <si>
    <t>182 University Rd, Stanford, CA</t>
  </si>
  <si>
    <t>119 University Rd, Stanford, CA</t>
  </si>
  <si>
    <t>michael.miller@stanford.edu</t>
  </si>
  <si>
    <t>50 University Rd, Stanford, CA</t>
  </si>
  <si>
    <t>1 University Rd, Stanford, CA</t>
  </si>
  <si>
    <t>116 University Rd, Stanford, CA</t>
  </si>
  <si>
    <t>66 University Rd, Stanford, CA</t>
  </si>
  <si>
    <t>alice.davis@stanford.edu</t>
  </si>
  <si>
    <t>444 University Rd, Stanford, CA</t>
  </si>
  <si>
    <t>138 University Rd, Stanford, CA</t>
  </si>
  <si>
    <t>394 University Rd, Stanford, CA</t>
  </si>
  <si>
    <t>alice.johnson@stanford.edu</t>
  </si>
  <si>
    <t>michael.johnson@stanford.edu</t>
  </si>
  <si>
    <t>106 University Rd, Stanford, CA</t>
  </si>
  <si>
    <t>275 University Rd, Stanford, CA</t>
  </si>
  <si>
    <t>258 University Rd, Stanford, CA</t>
  </si>
  <si>
    <t>187 University Rd, Stanford, CA</t>
  </si>
  <si>
    <t>147 University Rd, Stanford, CA</t>
  </si>
  <si>
    <t>428 University Rd, Stanford, CA</t>
  </si>
  <si>
    <t>223 University Rd, Stanford, CA</t>
  </si>
  <si>
    <t>446 University Rd, Stanford, CA</t>
  </si>
  <si>
    <t>132 University Rd, Stanford, CA</t>
  </si>
  <si>
    <t>465 University Rd, Stanford, CA</t>
  </si>
  <si>
    <t>340 University Rd, Stanford, CA</t>
  </si>
  <si>
    <t>367 University Rd, Stanford, CA</t>
  </si>
  <si>
    <t>155 University Rd, Stanford, CA</t>
  </si>
  <si>
    <t>327 University Rd, Stanford, CA</t>
  </si>
  <si>
    <t>442 University Rd, Stanford, CA</t>
  </si>
  <si>
    <t>71 University Rd, Stanford, CA</t>
  </si>
  <si>
    <t>398 University Rd, Stanford, CA</t>
  </si>
  <si>
    <t>25 University Rd, Stanford, CA</t>
  </si>
  <si>
    <t>488 University Rd, Stanford, CA</t>
  </si>
  <si>
    <t>15 University Rd, Stanford, CA</t>
  </si>
  <si>
    <t>90 University Rd, Stanford, CA</t>
  </si>
  <si>
    <t>bob.brown@stanford.edu</t>
  </si>
  <si>
    <t>226 University Rd, Stanford, CA</t>
  </si>
  <si>
    <t>148 University Rd, Stanford, CA</t>
  </si>
  <si>
    <t>277 University Rd, Stanford, CA</t>
  </si>
  <si>
    <t>240 University Rd, Stanford, CA</t>
  </si>
  <si>
    <t>145 University Rd, Stanford, CA</t>
  </si>
  <si>
    <t>278 University Rd, Stanford, CA</t>
  </si>
  <si>
    <t>86 University Rd, Stanford, CA</t>
  </si>
  <si>
    <t>30 University Rd, Stanford, CA</t>
  </si>
  <si>
    <t>204 University Rd, Stanford, CA</t>
  </si>
  <si>
    <t>38 University Rd, Stanford, CA</t>
  </si>
  <si>
    <t>john.taylor@uchicago.edu</t>
  </si>
  <si>
    <t>289 University Rd, Chicago, IL</t>
  </si>
  <si>
    <t>emma.taylor@uchicago.edu</t>
  </si>
  <si>
    <t>59 University Rd, Chicago, IL</t>
  </si>
  <si>
    <t>michael.johnson@uchicago.edu</t>
  </si>
  <si>
    <t>368 University Rd, Chicago, IL</t>
  </si>
  <si>
    <t>emma.thomas@uchicago.edu</t>
  </si>
  <si>
    <t>212 University Rd, Chicago, IL</t>
  </si>
  <si>
    <t>daniel.wilson@uchicago.edu</t>
  </si>
  <si>
    <t>13 University Rd, Chicago, IL</t>
  </si>
  <si>
    <t>jane.davis@uchicago.edu</t>
  </si>
  <si>
    <t>163 University Rd, Chicago, IL</t>
  </si>
  <si>
    <t>emma.johnson@uchicago.edu</t>
  </si>
  <si>
    <t>107 University Rd, Chicago, IL</t>
  </si>
  <si>
    <t>charlie.taylor@uchicago.edu</t>
  </si>
  <si>
    <t>480 University Rd, Chicago, IL</t>
  </si>
  <si>
    <t>emma.moore@uchicago.edu</t>
  </si>
  <si>
    <t>daniel.smith@uchicago.edu</t>
  </si>
  <si>
    <t>474 University Rd, Chicago, IL</t>
  </si>
  <si>
    <t>david.moore@uchicago.edu</t>
  </si>
  <si>
    <t>114 University Rd, Chicago, IL</t>
  </si>
  <si>
    <t>bob.wilson@uchicago.edu</t>
  </si>
  <si>
    <t>385 University Rd, Chicago, IL</t>
  </si>
  <si>
    <t>bob.thomas@uchicago.edu</t>
  </si>
  <si>
    <t>226 University Rd, Chicago, IL</t>
  </si>
  <si>
    <t>emma.miller@uchicago.edu</t>
  </si>
  <si>
    <t>282 University Rd, Chicago, IL</t>
  </si>
  <si>
    <t>alice.moore@uchicago.edu</t>
  </si>
  <si>
    <t>429 University Rd, Chicago, IL</t>
  </si>
  <si>
    <t>159 University Rd, Chicago, IL</t>
  </si>
  <si>
    <t>charlie.thomas@uchicago.edu</t>
  </si>
  <si>
    <t>356 University Rd, Chicago, IL</t>
  </si>
  <si>
    <t>sophia.smith@uchicago.edu</t>
  </si>
  <si>
    <t>254 University Rd, Chicago, IL</t>
  </si>
  <si>
    <t>431 University Rd, Chicago, IL</t>
  </si>
  <si>
    <t>bob.miller@uchicago.edu</t>
  </si>
  <si>
    <t>83 University Rd, Chicago, IL</t>
  </si>
  <si>
    <t>michael.taylor@uchicago.edu</t>
  </si>
  <si>
    <t>292 University Rd, Chicago, IL</t>
  </si>
  <si>
    <t>emma.brown@uchicago.edu</t>
  </si>
  <si>
    <t>96 University Rd, Chicago, IL</t>
  </si>
  <si>
    <t>bob.brown@uchicago.edu</t>
  </si>
  <si>
    <t>422 University Rd, Chicago, IL</t>
  </si>
  <si>
    <t>jane.anderson@uchicago.edu</t>
  </si>
  <si>
    <t>404 University Rd, Chicago, IL</t>
  </si>
  <si>
    <t>daniel.miller@uchicago.edu</t>
  </si>
  <si>
    <t>294 University Rd, Chicago, IL</t>
  </si>
  <si>
    <t>bob.smith@uchicago.edu</t>
  </si>
  <si>
    <t>311 University Rd, Chicago, IL</t>
  </si>
  <si>
    <t>jane.wilson@uchicago.edu</t>
  </si>
  <si>
    <t>412 University Rd, Chicago, IL</t>
  </si>
  <si>
    <t>michael.anderson@uchicago.edu</t>
  </si>
  <si>
    <t>341 University Rd, Chicago, IL</t>
  </si>
  <si>
    <t>emma.davis@uchicago.edu</t>
  </si>
  <si>
    <t>258 University Rd, Chicago, IL</t>
  </si>
  <si>
    <t>david.miller@uchicago.edu</t>
  </si>
  <si>
    <t>290 University Rd, Chicago, IL</t>
  </si>
  <si>
    <t>alice.thomas@uchicago.edu</t>
  </si>
  <si>
    <t>288 University Rd, Chicago, IL</t>
  </si>
  <si>
    <t>bob.taylor@uchicago.edu</t>
  </si>
  <si>
    <t>200 University Rd, Chicago, IL</t>
  </si>
  <si>
    <t>john.smith@uchicago.edu</t>
  </si>
  <si>
    <t>324 University Rd, Chicago, IL</t>
  </si>
  <si>
    <t>emma.anderson@uchicago.edu</t>
  </si>
  <si>
    <t>63 University Rd, Chicago, IL</t>
  </si>
  <si>
    <t>sophia.thomas@uchicago.edu</t>
  </si>
  <si>
    <t>146 University Rd, Chicago, IL</t>
  </si>
  <si>
    <t>jane.thomas@uchicago.edu</t>
  </si>
  <si>
    <t>100 University Rd, Chicago, IL</t>
  </si>
  <si>
    <t>john.johnson@uchicago.edu</t>
  </si>
  <si>
    <t>345 University Rd, Chicago, IL</t>
  </si>
  <si>
    <t>jane.taylor@uchicago.edu</t>
  </si>
  <si>
    <t>195 University Rd, Chicago, IL</t>
  </si>
  <si>
    <t>david.smith@uchicago.edu</t>
  </si>
  <si>
    <t>113 University Rd, Chicago, IL</t>
  </si>
  <si>
    <t>330 University Rd, Chicago, IL</t>
  </si>
  <si>
    <t>alice.brown@uchicago.edu</t>
  </si>
  <si>
    <t>191 University Rd, Chicago, IL</t>
  </si>
  <si>
    <t>156 University Rd, Chicago, IL</t>
  </si>
  <si>
    <t>154 University Rd, Chicago, IL</t>
  </si>
  <si>
    <t>daniel.thomas@uchicago.edu</t>
  </si>
  <si>
    <t>67 University Rd, Chicago, IL</t>
  </si>
  <si>
    <t>david.brown@uchicago.edu</t>
  </si>
  <si>
    <t>418 University Rd, Chicago, IL</t>
  </si>
  <si>
    <t>357 University Rd, Chicago, IL</t>
  </si>
  <si>
    <t>245 University Rd, Chicago, IL</t>
  </si>
  <si>
    <t>charlie.smith@uchicago.edu</t>
  </si>
  <si>
    <t>187 University Rd, Chicago, IL</t>
  </si>
  <si>
    <t>284 University Rd, Chicago, IL</t>
  </si>
  <si>
    <t>alice.miller@uchicago.edu</t>
  </si>
  <si>
    <t>374 University Rd, Chicago, IL</t>
  </si>
  <si>
    <t>charlie.wilson@uchicago.edu</t>
  </si>
  <si>
    <t>256 University Rd, Chicago, IL</t>
  </si>
  <si>
    <t>331 University Rd, Chicago, IL</t>
  </si>
  <si>
    <t>bob.moore@uchicago.edu</t>
  </si>
  <si>
    <t>234 University Rd, Chicago, IL</t>
  </si>
  <si>
    <t>442 University Rd, Chicago, IL</t>
  </si>
  <si>
    <t>27 University Rd, Chicago, IL</t>
  </si>
  <si>
    <t>sophia.johnson@uchicago.edu</t>
  </si>
  <si>
    <t>334 University Rd, Chicago, IL</t>
  </si>
  <si>
    <t>alice.taylor@uchicago.edu</t>
  </si>
  <si>
    <t>350 University Rd, Chicago, IL</t>
  </si>
  <si>
    <t>499 University Rd, Chicago, IL</t>
  </si>
  <si>
    <t>alice.davis@uchicago.edu</t>
  </si>
  <si>
    <t>461 University Rd, Chicago, IL</t>
  </si>
  <si>
    <t>michael.davis@uchicago.edu</t>
  </si>
  <si>
    <t>360 University Rd, Chicago, IL</t>
  </si>
  <si>
    <t>34 University Rd, Chicago, IL</t>
  </si>
  <si>
    <t>alice.smith@uchicago.edu</t>
  </si>
  <si>
    <t>250 University Rd, Chicago, IL</t>
  </si>
  <si>
    <t>415 University Rd, Chicago, IL</t>
  </si>
  <si>
    <t>michael.smith@uchicago.edu</t>
  </si>
  <si>
    <t>charlie.brown@uchicago.edu</t>
  </si>
  <si>
    <t>48 University Rd, Chicago, IL</t>
  </si>
  <si>
    <t>181 University Rd, Chicago, IL</t>
  </si>
  <si>
    <t>305 University Rd, Chicago, IL</t>
  </si>
  <si>
    <t>charlie.davis@uchicago.edu</t>
  </si>
  <si>
    <t>141 University Rd, Chicago, IL</t>
  </si>
  <si>
    <t>david.taylor@uchicago.edu</t>
  </si>
  <si>
    <t>433 University Rd, Chicago, IL</t>
  </si>
  <si>
    <t>daniel.johnson@uchicago.edu</t>
  </si>
  <si>
    <t>103 University Rd, Chicago, IL</t>
  </si>
  <si>
    <t>david.wilson@uchicago.edu</t>
  </si>
  <si>
    <t>260 University Rd, Chicago, IL</t>
  </si>
  <si>
    <t>david.johnson@uchicago.edu</t>
  </si>
  <si>
    <t>150 University Rd, Chicago, IL</t>
  </si>
  <si>
    <t>sophia.brown@uchicago.edu</t>
  </si>
  <si>
    <t>171 University Rd, Chicago, IL</t>
  </si>
  <si>
    <t>sophia.taylor@uchicago.edu</t>
  </si>
  <si>
    <t>10 University Rd, Chicago, IL</t>
  </si>
  <si>
    <t>charlie.taylor@yale.edu</t>
  </si>
  <si>
    <t>353 University Rd, New Haven, CT</t>
  </si>
  <si>
    <t>john.moore@yale.edu</t>
  </si>
  <si>
    <t>355 University Rd, New Haven, CT</t>
  </si>
  <si>
    <t>charlie.wilson@yale.edu</t>
  </si>
  <si>
    <t>103 University Rd, New Haven, CT</t>
  </si>
  <si>
    <t>daniel.johnson@yale.edu</t>
  </si>
  <si>
    <t>54 University Rd, New Haven, CT</t>
  </si>
  <si>
    <t>michael.miller@yale.edu</t>
  </si>
  <si>
    <t>328 University Rd, New Haven, CT</t>
  </si>
  <si>
    <t>alice.miller@yale.edu</t>
  </si>
  <si>
    <t>381 University Rd, New Haven, CT</t>
  </si>
  <si>
    <t>sophia.wilson@yale.edu</t>
  </si>
  <si>
    <t>465 University Rd, New Haven, CT</t>
  </si>
  <si>
    <t>charlie.davis@yale.edu</t>
  </si>
  <si>
    <t>61 University Rd, New Haven, CT</t>
  </si>
  <si>
    <t>jane.anderson@yale.edu</t>
  </si>
  <si>
    <t>306 University Rd, New Haven, CT</t>
  </si>
  <si>
    <t>john.brown@yale.edu</t>
  </si>
  <si>
    <t>68 University Rd, New Haven, CT</t>
  </si>
  <si>
    <t>jane.thomas@yale.edu</t>
  </si>
  <si>
    <t>392 University Rd, New Haven, CT</t>
  </si>
  <si>
    <t>38 University Rd, New Haven, CT</t>
  </si>
  <si>
    <t>bob.johnson@yale.edu</t>
  </si>
  <si>
    <t>16 University Rd, New Haven, CT</t>
  </si>
  <si>
    <t>charlie.johnson@yale.edu</t>
  </si>
  <si>
    <t>487 University Rd, New Haven, CT</t>
  </si>
  <si>
    <t>bob.moore@yale.edu</t>
  </si>
  <si>
    <t>411 University Rd, New Haven, CT</t>
  </si>
  <si>
    <t>david.miller@yale.edu</t>
  </si>
  <si>
    <t>205 University Rd, New Haven, CT</t>
  </si>
  <si>
    <t>144 University Rd, New Haven, CT</t>
  </si>
  <si>
    <t>john.smith@yale.edu</t>
  </si>
  <si>
    <t>308 University Rd, New Haven, CT</t>
  </si>
  <si>
    <t>michael.smith@yale.edu</t>
  </si>
  <si>
    <t>481 University Rd, New Haven, CT</t>
  </si>
  <si>
    <t>alice.davis@yale.edu</t>
  </si>
  <si>
    <t>372 University Rd, New Haven, CT</t>
  </si>
  <si>
    <t>emma.johnson@yale.edu</t>
  </si>
  <si>
    <t>285 University Rd, New Haven, CT</t>
  </si>
  <si>
    <t>emma.taylor@yale.edu</t>
  </si>
  <si>
    <t>235 University Rd, New Haven, CT</t>
  </si>
  <si>
    <t>david.smith@yale.edu</t>
  </si>
  <si>
    <t>210 University Rd, New Haven, CT</t>
  </si>
  <si>
    <t>emma.miller@yale.edu</t>
  </si>
  <si>
    <t>170 University Rd, New Haven, CT</t>
  </si>
  <si>
    <t>alice.thomas@yale.edu</t>
  </si>
  <si>
    <t>390 University Rd, New Haven, CT</t>
  </si>
  <si>
    <t>jane.smith@yale.edu</t>
  </si>
  <si>
    <t>463 University Rd, New Haven, CT</t>
  </si>
  <si>
    <t>jane.taylor@yale.edu</t>
  </si>
  <si>
    <t>434 University Rd, New Haven, CT</t>
  </si>
  <si>
    <t>347 University Rd, New Haven, CT</t>
  </si>
  <si>
    <t>alice.johnson@yale.edu</t>
  </si>
  <si>
    <t>462 University Rd, New Haven, CT</t>
  </si>
  <si>
    <t>david.thomas@yale.edu</t>
  </si>
  <si>
    <t>241 University Rd, New Haven, CT</t>
  </si>
  <si>
    <t>david.taylor@yale.edu</t>
  </si>
  <si>
    <t>daniel.miller@yale.edu</t>
  </si>
  <si>
    <t>218 University Rd, New Haven, CT</t>
  </si>
  <si>
    <t>sophia.smith@yale.edu</t>
  </si>
  <si>
    <t>280 University Rd, New Haven, CT</t>
  </si>
  <si>
    <t>michael.wilson@yale.edu</t>
  </si>
  <si>
    <t>271 University Rd, New Haven, CT</t>
  </si>
  <si>
    <t>david.anderson@yale.edu</t>
  </si>
  <si>
    <t>424 University Rd, New Haven, CT</t>
  </si>
  <si>
    <t>495 University Rd, New Haven, CT</t>
  </si>
  <si>
    <t>david.davis@yale.edu</t>
  </si>
  <si>
    <t>325 University Rd, New Haven, CT</t>
  </si>
  <si>
    <t>daniel.smith@yale.edu</t>
  </si>
  <si>
    <t>94 University Rd, New Haven, CT</t>
  </si>
  <si>
    <t>john.anderson@yale.edu</t>
  </si>
  <si>
    <t>88 University Rd, New Haven, CT</t>
  </si>
  <si>
    <t>john.taylor@yale.edu</t>
  </si>
  <si>
    <t>214 University Rd, New Haven, CT</t>
  </si>
  <si>
    <t>bob.brown@yale.edu</t>
  </si>
  <si>
    <t>428 University Rd, New Haven, CT</t>
  </si>
  <si>
    <t>charlie.thomas@yale.edu</t>
  </si>
  <si>
    <t>337 University Rd, New Haven, CT</t>
  </si>
  <si>
    <t>sophia.miller@yale.edu</t>
  </si>
  <si>
    <t>4 University Rd, New Haven, CT</t>
  </si>
  <si>
    <t>87 University Rd, New Haven, CT</t>
  </si>
  <si>
    <t>bob.wilson@yale.edu</t>
  </si>
  <si>
    <t>343 University Rd, New Haven, CT</t>
  </si>
  <si>
    <t>73 University Rd, New Haven, CT</t>
  </si>
  <si>
    <t>emma.moore@yale.edu</t>
  </si>
  <si>
    <t>140 University Rd, New Haven, CT</t>
  </si>
  <si>
    <t>michael.johnson@yale.edu</t>
  </si>
  <si>
    <t>277 University Rd, New Haven, CT</t>
  </si>
  <si>
    <t>78 University Rd, New Haven, CT</t>
  </si>
  <si>
    <t>alice.anderson@yale.edu</t>
  </si>
  <si>
    <t>226 University Rd, New Haven, CT</t>
  </si>
  <si>
    <t>emma.thomas@yale.edu</t>
  </si>
  <si>
    <t>18 University Rd, New Haven, CT</t>
  </si>
  <si>
    <t>daniel.brown@yale.edu</t>
  </si>
  <si>
    <t>79 University Rd, New Haven, CT</t>
  </si>
  <si>
    <t>sophia.brown@yale.edu</t>
  </si>
  <si>
    <t>182 University Rd, New Haven, CT</t>
  </si>
  <si>
    <t>sophia.taylor@yale.edu</t>
  </si>
  <si>
    <t>243 University Rd, New Haven, CT</t>
  </si>
  <si>
    <t>220 University Rd, New Haven, CT</t>
  </si>
  <si>
    <t>david.johnson@yale.edu</t>
  </si>
  <si>
    <t>267 University Rd, New Haven, CT</t>
  </si>
  <si>
    <t>409 University Rd, New Haven, CT</t>
  </si>
  <si>
    <t>sophia.thomas@yale.edu</t>
  </si>
  <si>
    <t>237 University Rd, New Haven, CT</t>
  </si>
  <si>
    <t>charlie.miller@yale.edu</t>
  </si>
  <si>
    <t>248 University Rd, New Haven, CT</t>
  </si>
  <si>
    <t>Company_ID</t>
  </si>
  <si>
    <t>Company_Name</t>
  </si>
  <si>
    <t>Google</t>
  </si>
  <si>
    <t>Mountain View, CA</t>
  </si>
  <si>
    <t>Microsoft</t>
  </si>
  <si>
    <t>Redmond, WA</t>
  </si>
  <si>
    <t>Apple</t>
  </si>
  <si>
    <t>Cupertino, CA</t>
  </si>
  <si>
    <t>Amazon</t>
  </si>
  <si>
    <t>Seattle, WA</t>
  </si>
  <si>
    <t>Facebook</t>
  </si>
  <si>
    <t>Menlo Park, CA</t>
  </si>
  <si>
    <t>Tesla</t>
  </si>
  <si>
    <t>Palo Alto, CA</t>
  </si>
  <si>
    <t>IBM</t>
  </si>
  <si>
    <t>Armonk, NY</t>
  </si>
  <si>
    <t>Intel</t>
  </si>
  <si>
    <t>Santa Clara, CA</t>
  </si>
  <si>
    <t>Adobe</t>
  </si>
  <si>
    <t>San Jose, CA</t>
  </si>
  <si>
    <t>Netflix</t>
  </si>
  <si>
    <t>Los Gatos, CA</t>
  </si>
  <si>
    <t>info@google.com</t>
  </si>
  <si>
    <t>info@microsoft.com</t>
  </si>
  <si>
    <t>info@apple.com</t>
  </si>
  <si>
    <t>info@amazon.com</t>
  </si>
  <si>
    <t>info@facebook.com</t>
  </si>
  <si>
    <t>info@tesla.com</t>
  </si>
  <si>
    <t>info@ibm.com</t>
  </si>
  <si>
    <t>info@intel.com</t>
  </si>
  <si>
    <t>info@adobe.com</t>
  </si>
  <si>
    <t>info@netflix.com</t>
  </si>
  <si>
    <t>Joining_Date</t>
  </si>
  <si>
    <t>Designation</t>
  </si>
  <si>
    <t>Department</t>
  </si>
  <si>
    <t>Employee_ID</t>
  </si>
  <si>
    <t>Timothy Carter</t>
  </si>
  <si>
    <t>timothy.carter@microsoft.com</t>
  </si>
  <si>
    <t>340.025.4655</t>
  </si>
  <si>
    <t>1690 John Squares Apt. 446, Crystalberg, SC 31679</t>
  </si>
  <si>
    <t>HR Manager</t>
  </si>
  <si>
    <t>Gary Johnson</t>
  </si>
  <si>
    <t>gary.johnson@amazon.com</t>
  </si>
  <si>
    <t>001-916-603-4027x098</t>
  </si>
  <si>
    <t>128 Susan Inlet Suite 865, Mendozaberg, SC 83325</t>
  </si>
  <si>
    <t>Data Scientist</t>
  </si>
  <si>
    <t>Product</t>
  </si>
  <si>
    <t>James Pearson</t>
  </si>
  <si>
    <t>james.pearson@adobe.com</t>
  </si>
  <si>
    <t>701-472-8488x6636</t>
  </si>
  <si>
    <t>00594 Garcia Freeway Suite 680, Samuelport, MA 78065</t>
  </si>
  <si>
    <t>Marketing Specialist</t>
  </si>
  <si>
    <t>Jacob Cochran</t>
  </si>
  <si>
    <t>jacob.cochran@intel.com</t>
  </si>
  <si>
    <t>9398 Nguyen Trail Suite 420, Josebury, GA 23590</t>
  </si>
  <si>
    <t>Engineering</t>
  </si>
  <si>
    <t>Michael Bradford</t>
  </si>
  <si>
    <t>michael.bradford@google.com</t>
  </si>
  <si>
    <t>001-494-888-0786x18755</t>
  </si>
  <si>
    <t>8381 Molly Cliffs, Ronaldhaven, NE 69064</t>
  </si>
  <si>
    <t>Software Engineer</t>
  </si>
  <si>
    <t>Jennifer Brown</t>
  </si>
  <si>
    <t>jennifer.brown@ibm.com</t>
  </si>
  <si>
    <t>+1-607-206-4568x769</t>
  </si>
  <si>
    <t>34634 Hudson Mission Suite 130, Anthonyborough, IA 15582</t>
  </si>
  <si>
    <t>Chris Lane</t>
  </si>
  <si>
    <t>chris.lane@amazon.com</t>
  </si>
  <si>
    <t>001-919-520-1200x90018</t>
  </si>
  <si>
    <t>USCGC Abbott, FPO AA 47870</t>
  </si>
  <si>
    <t>Data Science</t>
  </si>
  <si>
    <t>Mia Gonzalez</t>
  </si>
  <si>
    <t>mia.gonzalez@google.com</t>
  </si>
  <si>
    <t>001-360-404-0487x2065</t>
  </si>
  <si>
    <t>87370 Samantha Mountain, South Jamesbury, VT 80583</t>
  </si>
  <si>
    <t>Teresa Wilson</t>
  </si>
  <si>
    <t>teresa.wilson@microsoft.com</t>
  </si>
  <si>
    <t>5607 Patrick Burg Suite 375, East Crystal, SD 65253</t>
  </si>
  <si>
    <t>Kenneth Thompson</t>
  </si>
  <si>
    <t>kenneth.thompson@adobe.com</t>
  </si>
  <si>
    <t>001-428-911-0852x145</t>
  </si>
  <si>
    <t>776 David Points Suite 125, New Catherinemouth, MS 35526</t>
  </si>
  <si>
    <t>Brian Riley</t>
  </si>
  <si>
    <t>brian.riley@apple.com</t>
  </si>
  <si>
    <t>(984)723-8276x21653</t>
  </si>
  <si>
    <t>4571 Matthew Road Suite 885, Kellyhaven, ND 70317</t>
  </si>
  <si>
    <t>Michael Woods</t>
  </si>
  <si>
    <t>michael.woods@tesla.com</t>
  </si>
  <si>
    <t>001-729-442-6836x0658</t>
  </si>
  <si>
    <t>094 Larson Spurs, Jasonton, KS 10556</t>
  </si>
  <si>
    <t>Robert Strong</t>
  </si>
  <si>
    <t>robert.strong@intel.com</t>
  </si>
  <si>
    <t>426.514.0066</t>
  </si>
  <si>
    <t>57672 Church Pass Suite 320, Danielland, GA 23625</t>
  </si>
  <si>
    <t>Kelly Shaw</t>
  </si>
  <si>
    <t>kelly.shaw@ibm.com</t>
  </si>
  <si>
    <t>+1-006-975-4198x6102</t>
  </si>
  <si>
    <t>PSC 6983, Box 6302, APO AP 53577</t>
  </si>
  <si>
    <t>Nicole Long</t>
  </si>
  <si>
    <t>nicole.long@ibm.com</t>
  </si>
  <si>
    <t>230.371.2679</t>
  </si>
  <si>
    <t>63349 Joseph Garden, Kennethfurt, RI 13283</t>
  </si>
  <si>
    <t>Desiree Carson</t>
  </si>
  <si>
    <t>desiree.carson@microsoft.com</t>
  </si>
  <si>
    <t>(633)270-8115</t>
  </si>
  <si>
    <t>PSC 5193, Box 4180, APO AE 37809</t>
  </si>
  <si>
    <t>Tammy Hall</t>
  </si>
  <si>
    <t>tammy.hall@google.com</t>
  </si>
  <si>
    <t>509 Odom Park, Wheelerborough, PA 51481</t>
  </si>
  <si>
    <t>Sean Walters</t>
  </si>
  <si>
    <t>sean.walters@ibm.com</t>
  </si>
  <si>
    <t>595.565.2337</t>
  </si>
  <si>
    <t>7569 Schmidt Locks Suite 943, South Michelleberg, WI 21963</t>
  </si>
  <si>
    <t>Steven Moreno</t>
  </si>
  <si>
    <t>steven.moreno@adobe.com</t>
  </si>
  <si>
    <t>(781)752-6689</t>
  </si>
  <si>
    <t>2009 Smith Street, Lake Maryport, NV 25631</t>
  </si>
  <si>
    <t>Stephanie Johnson</t>
  </si>
  <si>
    <t>stephanie.johnson@tesla.com</t>
  </si>
  <si>
    <t>(797)745-5867x65155</t>
  </si>
  <si>
    <t>4470 Samantha Summit Apt. 417, Chloemouth, TX 70657</t>
  </si>
  <si>
    <t>Debbie Maxwell</t>
  </si>
  <si>
    <t>debbie.maxwell@adobe.com</t>
  </si>
  <si>
    <t>408-038-5348x8961</t>
  </si>
  <si>
    <t>PSC 7162, Box 6231, APO AE 72885</t>
  </si>
  <si>
    <t>Brian Wood</t>
  </si>
  <si>
    <t>brian.wood@ibm.com</t>
  </si>
  <si>
    <t>196.130.0083x109</t>
  </si>
  <si>
    <t>2093 Kim Extension, Richardsonview, IN 70012</t>
  </si>
  <si>
    <t>Marie Brown</t>
  </si>
  <si>
    <t>marie.brown@microsoft.com</t>
  </si>
  <si>
    <t>001-521-895-5171</t>
  </si>
  <si>
    <t>2102 Waters Circle Apt. 081, New Anthony, CT 12655</t>
  </si>
  <si>
    <t>Mark Nash</t>
  </si>
  <si>
    <t>mark.nash@netflix.com</t>
  </si>
  <si>
    <t>001-123-274-0718x11227</t>
  </si>
  <si>
    <t>219 Little Drive, East Kristie, OK 76668</t>
  </si>
  <si>
    <t>Kayla Allison</t>
  </si>
  <si>
    <t>kayla.allison@apple.com</t>
  </si>
  <si>
    <t>256-910-6073x961</t>
  </si>
  <si>
    <t>USNS Owens, FPO AP 30545</t>
  </si>
  <si>
    <t>Nicole Alexander</t>
  </si>
  <si>
    <t>nicole.alexander@google.com</t>
  </si>
  <si>
    <t>(342)979-1169</t>
  </si>
  <si>
    <t>650 Farley Port Suite 936, Luistown, DC 63516</t>
  </si>
  <si>
    <t>Product Manager</t>
  </si>
  <si>
    <t>Gregory Stewart</t>
  </si>
  <si>
    <t>gregory.stewart@google.com</t>
  </si>
  <si>
    <t>321.830.7765</t>
  </si>
  <si>
    <t>2256 Andrew Parks, East Tracychester, AR 83205</t>
  </si>
  <si>
    <t>Mrs. Amanda Barron</t>
  </si>
  <si>
    <t>mrs..amanda.barron@netflix.com</t>
  </si>
  <si>
    <t>Unit 5833 Box 4710, DPO AE 65938</t>
  </si>
  <si>
    <t>Melissa Brown</t>
  </si>
  <si>
    <t>melissa.brown@intel.com</t>
  </si>
  <si>
    <t>001-912-264-8421x264</t>
  </si>
  <si>
    <t>44814 Catherine Summit, West Paul, NC 07900</t>
  </si>
  <si>
    <t>Rebecca Taylor</t>
  </si>
  <si>
    <t>rebecca.taylor@tesla.com</t>
  </si>
  <si>
    <t>728.221.5977x42342</t>
  </si>
  <si>
    <t>9223 Keith Overpass, Jamesville, KS 91520</t>
  </si>
  <si>
    <t>Lisa Ruiz</t>
  </si>
  <si>
    <t>lisa.ruiz@google.com</t>
  </si>
  <si>
    <t>(609)442-2434x16359</t>
  </si>
  <si>
    <t>71829 Marie Square Apt. 822, Alexisshire, OK 13256</t>
  </si>
  <si>
    <t>Heather Golden</t>
  </si>
  <si>
    <t>heather.golden@microsoft.com</t>
  </si>
  <si>
    <t>295.554.2667x48483</t>
  </si>
  <si>
    <t>5029 Danny Orchard Apt. 993, Franciscoshire, LA 14258</t>
  </si>
  <si>
    <t>Mark Fuller</t>
  </si>
  <si>
    <t>mark.fuller@apple.com</t>
  </si>
  <si>
    <t>469.789.6108</t>
  </si>
  <si>
    <t>98861 Dunn Drive Suite 961, Albertshire, WY 52248</t>
  </si>
  <si>
    <t>Andrew Brewer</t>
  </si>
  <si>
    <t>andrew.brewer@intel.com</t>
  </si>
  <si>
    <t>+1-149-268-6506x17742</t>
  </si>
  <si>
    <t>592 Paul Bridge Suite 073, Brownchester, PA 58035</t>
  </si>
  <si>
    <t>Lauren Harvey</t>
  </si>
  <si>
    <t>lauren.harvey@adobe.com</t>
  </si>
  <si>
    <t>(829)814-6783x27316</t>
  </si>
  <si>
    <t>994 Martin Place, Kimberlyfort, MN 79576</t>
  </si>
  <si>
    <t>Maria Sanchez</t>
  </si>
  <si>
    <t>maria.sanchez@netflix.com</t>
  </si>
  <si>
    <t>001-602-915-5383x5816</t>
  </si>
  <si>
    <t>USS Hardy, FPO AA 66967</t>
  </si>
  <si>
    <t>Susan Mckay</t>
  </si>
  <si>
    <t>susan.mckay@ibm.com</t>
  </si>
  <si>
    <t>(485)928-2113</t>
  </si>
  <si>
    <t>87573 Nguyen Street, Nancyburgh, ND 47577</t>
  </si>
  <si>
    <t>Robert Butler</t>
  </si>
  <si>
    <t>robert.butler@amazon.com</t>
  </si>
  <si>
    <t>659-179-0509x746</t>
  </si>
  <si>
    <t>96876 Armstrong Knoll, West Ericland, DE 74063</t>
  </si>
  <si>
    <t>Douglas Powell</t>
  </si>
  <si>
    <t>douglas.powell@netflix.com</t>
  </si>
  <si>
    <t>(243)745-5208x10762</t>
  </si>
  <si>
    <t>6503 Perez Rapids, East Margaret, VT 47644</t>
  </si>
  <si>
    <t>Jo Brown</t>
  </si>
  <si>
    <t>jo.brown@apple.com</t>
  </si>
  <si>
    <t>600-668-1005</t>
  </si>
  <si>
    <t>1141 Torres Canyon Suite 368, Edwardsmouth, UT 78263</t>
  </si>
  <si>
    <t>Martin Alexander</t>
  </si>
  <si>
    <t>martin.alexander@microsoft.com</t>
  </si>
  <si>
    <t>001-537-849-4230x5858</t>
  </si>
  <si>
    <t>05923 Carlson Branch, East Bradyfurt, NV 44634</t>
  </si>
  <si>
    <t>William Richardson</t>
  </si>
  <si>
    <t>william.richardson@netflix.com</t>
  </si>
  <si>
    <t>442.327.3396</t>
  </si>
  <si>
    <t>347 Joseph Mission Apt. 505, Baileyton, DE 97254</t>
  </si>
  <si>
    <t>Alejandro Morgan</t>
  </si>
  <si>
    <t>alejandro.morgan@facebook.com</t>
  </si>
  <si>
    <t>618-283-2470</t>
  </si>
  <si>
    <t>Unit 7721 Box 5359, DPO AP 18700</t>
  </si>
  <si>
    <t>Joseph Edwards</t>
  </si>
  <si>
    <t>joseph.edwards@adobe.com</t>
  </si>
  <si>
    <t>641-409-2842x77473</t>
  </si>
  <si>
    <t>5545 Jonathan Overpass, East Colleenburgh, KS 10926</t>
  </si>
  <si>
    <t>Alexandra Kelly</t>
  </si>
  <si>
    <t>alexandra.kelly@adobe.com</t>
  </si>
  <si>
    <t>113.287.4662</t>
  </si>
  <si>
    <t>53252 Richardson Village Apt. 640, East Adam, IN 74649</t>
  </si>
  <si>
    <t>Christopher White</t>
  </si>
  <si>
    <t>christopher.white@amazon.com</t>
  </si>
  <si>
    <t>+1-671-710-1268x17800</t>
  </si>
  <si>
    <t>72873 Washington Cliff, North Angela, KS 18260</t>
  </si>
  <si>
    <t>Thomas Mendoza</t>
  </si>
  <si>
    <t>thomas.mendoza@google.com</t>
  </si>
  <si>
    <t>659.742.6354</t>
  </si>
  <si>
    <t>8678 Sarah Ferry, Wellsview, TN 57861</t>
  </si>
  <si>
    <t>Sean Powell</t>
  </si>
  <si>
    <t>sean.powell@apple.com</t>
  </si>
  <si>
    <t>093.018.1881x9561</t>
  </si>
  <si>
    <t>65050 John Union, South Michelle, HI 72689</t>
  </si>
  <si>
    <t>Taylor Lee</t>
  </si>
  <si>
    <t>taylor.lee@google.com</t>
  </si>
  <si>
    <t>(634)008-3133x0175</t>
  </si>
  <si>
    <t>3439 Ricky Highway, West Staceyhaven, PA 74468</t>
  </si>
  <si>
    <t>Erin Ferguson</t>
  </si>
  <si>
    <t>erin.ferguson@apple.com</t>
  </si>
  <si>
    <t>785-151-1208x77818</t>
  </si>
  <si>
    <t>53735 Hill Plains, Lisaville, CO 78004</t>
  </si>
  <si>
    <t>Ricardo Lee</t>
  </si>
  <si>
    <t>ricardo.lee@microsoft.com</t>
  </si>
  <si>
    <t>001-768-633-9759x410</t>
  </si>
  <si>
    <t>7042 Miller Wall Apt. 238, Mcbrideport, WA 85111</t>
  </si>
  <si>
    <t>Andrew Bryant</t>
  </si>
  <si>
    <t>andrew.bryant@tesla.com</t>
  </si>
  <si>
    <t>91862 Robert Pine, Port Johnny, DE 99251</t>
  </si>
  <si>
    <t>Luke Bowen</t>
  </si>
  <si>
    <t>luke.bowen@tesla.com</t>
  </si>
  <si>
    <t>+1-835-708-4104x27396</t>
  </si>
  <si>
    <t>USNV Allen, FPO AE 83400</t>
  </si>
  <si>
    <t>Barbara Graham</t>
  </si>
  <si>
    <t>barbara.graham@google.com</t>
  </si>
  <si>
    <t>(702)672-2108</t>
  </si>
  <si>
    <t>692 Christopher Stravenue, Lukeburgh, HI 56988</t>
  </si>
  <si>
    <t>Jamie Foster</t>
  </si>
  <si>
    <t>jamie.foster@tesla.com</t>
  </si>
  <si>
    <t>046-077-8448x1827</t>
  </si>
  <si>
    <t>983 Nelson Well, New Glen, CT 31382</t>
  </si>
  <si>
    <t>Ian Bishop</t>
  </si>
  <si>
    <t>ian.bishop@intel.com</t>
  </si>
  <si>
    <t>231.952.4217x18776</t>
  </si>
  <si>
    <t>3193 Julie Light Suite 997, Sheltonburgh, OR 82619</t>
  </si>
  <si>
    <t>Brooke Ward</t>
  </si>
  <si>
    <t>brooke.ward@google.com</t>
  </si>
  <si>
    <t>109-485-3220x76625</t>
  </si>
  <si>
    <t>97971 Peters Glen, North Melaniehaven, SC 42949</t>
  </si>
  <si>
    <t>Robert Johnson</t>
  </si>
  <si>
    <t>robert.johnson@apple.com</t>
  </si>
  <si>
    <t>743.918.3352x4683</t>
  </si>
  <si>
    <t>570 Rios River Suite 587, East Ericborough, MN 40335</t>
  </si>
  <si>
    <t>Lauren Bridges</t>
  </si>
  <si>
    <t>lauren.bridges@adobe.com</t>
  </si>
  <si>
    <t>972-331-4246x51262</t>
  </si>
  <si>
    <t>84352 Joshua Lakes Suite 400, South Diane, AL 66684</t>
  </si>
  <si>
    <t>Rebecca Hartman</t>
  </si>
  <si>
    <t>rebecca.hartman@tesla.com</t>
  </si>
  <si>
    <t>978.360.7327x38777</t>
  </si>
  <si>
    <t>95109 Bond Passage Suite 907, Erichaven, IN 04251</t>
  </si>
  <si>
    <t>Keith Johnson</t>
  </si>
  <si>
    <t>keith.johnson@intel.com</t>
  </si>
  <si>
    <t>320-517-7526</t>
  </si>
  <si>
    <t>34224 Castillo Orchard, Kimberlyfurt, SD 16445</t>
  </si>
  <si>
    <t>Destiny Adams</t>
  </si>
  <si>
    <t>destiny.adams@apple.com</t>
  </si>
  <si>
    <t>874-242-5974x60703</t>
  </si>
  <si>
    <t>USNS French, FPO AP 85730</t>
  </si>
  <si>
    <t>Jeffrey Gonzales</t>
  </si>
  <si>
    <t>jeffrey.gonzales@microsoft.com</t>
  </si>
  <si>
    <t>265.832.3620x076</t>
  </si>
  <si>
    <t>24634 Carr Ferry Apt. 958, Maryhaven, AZ 39729</t>
  </si>
  <si>
    <t>Alan Keller</t>
  </si>
  <si>
    <t>alan.keller@intel.com</t>
  </si>
  <si>
    <t>739-811-9996</t>
  </si>
  <si>
    <t>16206 Stephanie Via Apt. 668, East Kevin, NJ 74455</t>
  </si>
  <si>
    <t>Terry Campbell DDS</t>
  </si>
  <si>
    <t>terry.campbell.dds@tesla.com</t>
  </si>
  <si>
    <t>336-136-0856x028</t>
  </si>
  <si>
    <t>68538 Myers Squares, East Jefferyberg, MD 30980</t>
  </si>
  <si>
    <t>Michael Oneal</t>
  </si>
  <si>
    <t>michael.oneal@ibm.com</t>
  </si>
  <si>
    <t>001-598-878-3686x187</t>
  </si>
  <si>
    <t>4304 Pierce Meadow Apt. 368, Hillbury, WV 22034</t>
  </si>
  <si>
    <t>James Harvey</t>
  </si>
  <si>
    <t>james.harvey@tesla.com</t>
  </si>
  <si>
    <t>001-301-149-5076x111</t>
  </si>
  <si>
    <t>02777 Hood Spurs Apt. 743, North Johnnyfort, HI 99165</t>
  </si>
  <si>
    <t>Nicolas Mills</t>
  </si>
  <si>
    <t>nicolas.mills@google.com</t>
  </si>
  <si>
    <t>(253)825-5792x38945</t>
  </si>
  <si>
    <t>PSC 5847, Box 1532, APO AE 76241</t>
  </si>
  <si>
    <t>Mary Combs</t>
  </si>
  <si>
    <t>mary.combs@intel.com</t>
  </si>
  <si>
    <t>+1-904-373-6619x68019</t>
  </si>
  <si>
    <t>822 Thomas Parks, Benjamintown, KS 34841</t>
  </si>
  <si>
    <t>Ross Torres</t>
  </si>
  <si>
    <t>ross.torres@google.com</t>
  </si>
  <si>
    <t>001-774-741-6342x62384</t>
  </si>
  <si>
    <t>8997 Ronald Park Apt. 093, West Timothyport, MA 32391</t>
  </si>
  <si>
    <t>Daniel Brown PhD</t>
  </si>
  <si>
    <t>daniel.brown.phd@google.com</t>
  </si>
  <si>
    <t>+1-628-523-5769x36656</t>
  </si>
  <si>
    <t>010 Dixon Falls Suite 819, Judyland, OK 89332</t>
  </si>
  <si>
    <t>Joe Guerra</t>
  </si>
  <si>
    <t>joe.guerra@netflix.com</t>
  </si>
  <si>
    <t>+1-095-434-4099x41956</t>
  </si>
  <si>
    <t>63680 Smith Ways Apt. 291, North Brian, IL 70817</t>
  </si>
  <si>
    <t>Shelly Harrison</t>
  </si>
  <si>
    <t>shelly.harrison@apple.com</t>
  </si>
  <si>
    <t>2299 Lisa Hollow, West Nicoleland, WY 77279</t>
  </si>
  <si>
    <t>Mark Orozco</t>
  </si>
  <si>
    <t>mark.orozco@ibm.com</t>
  </si>
  <si>
    <t>398.035.2686x09134</t>
  </si>
  <si>
    <t>861 Brian Stream, Gregoryfurt, MS 87630</t>
  </si>
  <si>
    <t>Tracy Rodriguez</t>
  </si>
  <si>
    <t>tracy.rodriguez@netflix.com</t>
  </si>
  <si>
    <t>+1-212-486-0220x630</t>
  </si>
  <si>
    <t>39251 Ramsey Burg, Lake Kristen, IN 16347</t>
  </si>
  <si>
    <t>Joshua Bond</t>
  </si>
  <si>
    <t>joshua.bond@facebook.com</t>
  </si>
  <si>
    <t>001-020-370-5987x5708</t>
  </si>
  <si>
    <t>20004 David Lake Apt. 582, South Hunterside, ID 87471</t>
  </si>
  <si>
    <t>Erin Paul</t>
  </si>
  <si>
    <t>erin.paul@facebook.com</t>
  </si>
  <si>
    <t>828-134-9557</t>
  </si>
  <si>
    <t>637 Bryan Course, Patriciaville, RI 30827</t>
  </si>
  <si>
    <t>Heather Reed</t>
  </si>
  <si>
    <t>heather.reed@intel.com</t>
  </si>
  <si>
    <t>+1-579-247-0918x6430</t>
  </si>
  <si>
    <t>089 Hansen Vista Suite 238, Kevinside, SD 63161</t>
  </si>
  <si>
    <t>Leslie Gibson</t>
  </si>
  <si>
    <t>leslie.gibson@tesla.com</t>
  </si>
  <si>
    <t>+1-441-144-6265x818</t>
  </si>
  <si>
    <t>03080 Kimberly Square, Scottfort, CT 77346</t>
  </si>
  <si>
    <t>Kenneth Robinson</t>
  </si>
  <si>
    <t>kenneth.robinson@facebook.com</t>
  </si>
  <si>
    <t>460.852.9415x4422</t>
  </si>
  <si>
    <t>807 James Tunnel, South Nicolasshire, NJ 46930</t>
  </si>
  <si>
    <t>Clayton Esparza</t>
  </si>
  <si>
    <t>clayton.esparza@microsoft.com</t>
  </si>
  <si>
    <t>383.171.1314</t>
  </si>
  <si>
    <t>04849 Johnson Hills, North James, RI 03614</t>
  </si>
  <si>
    <t>William Brown</t>
  </si>
  <si>
    <t>william.brown@apple.com</t>
  </si>
  <si>
    <t>+1-015-367-2898x00233</t>
  </si>
  <si>
    <t>439 Wilson Crossing, Annatown, CA 41066</t>
  </si>
  <si>
    <t>Michael Michael</t>
  </si>
  <si>
    <t>michael.michael@microsoft.com</t>
  </si>
  <si>
    <t>040.241.8918x0574</t>
  </si>
  <si>
    <t>Unit 8090 Box 9606, DPO AA 21637</t>
  </si>
  <si>
    <t>Brandon Cross</t>
  </si>
  <si>
    <t>brandon.cross@intel.com</t>
  </si>
  <si>
    <t>166 John Harbors Apt. 029, Lunashire, IL 19921</t>
  </si>
  <si>
    <t>Jacob Ramirez</t>
  </si>
  <si>
    <t>jacob.ramirez@amazon.com</t>
  </si>
  <si>
    <t>001-617-835-6308x1381</t>
  </si>
  <si>
    <t>USNV Jenkins, FPO AP 75666</t>
  </si>
  <si>
    <t>Debra Taylor</t>
  </si>
  <si>
    <t>debra.taylor@amazon.com</t>
  </si>
  <si>
    <t>+1-082-230-0716x193</t>
  </si>
  <si>
    <t>421 Joseph Spurs Apt. 894, Albertstad, UT 26037</t>
  </si>
  <si>
    <t>Robert Mitchell</t>
  </si>
  <si>
    <t>robert.mitchell@intel.com</t>
  </si>
  <si>
    <t>177.131.2792x0158</t>
  </si>
  <si>
    <t>371 Katherine Drives, West Charles, MA 83294</t>
  </si>
  <si>
    <t>James Richardson</t>
  </si>
  <si>
    <t>james.richardson@microsoft.com</t>
  </si>
  <si>
    <t>+1-972-701-0151x01771</t>
  </si>
  <si>
    <t>0065 Williams Station, North Edgar, MI 60591</t>
  </si>
  <si>
    <t>Christopher Carter</t>
  </si>
  <si>
    <t>christopher.carter@facebook.com</t>
  </si>
  <si>
    <t>28153 Russell Loop Apt. 589, Landryport, IL 74674</t>
  </si>
  <si>
    <t>James Lester</t>
  </si>
  <si>
    <t>james.lester@intel.com</t>
  </si>
  <si>
    <t>4142 Jessica Mount, Lake Amy, UT 90646</t>
  </si>
  <si>
    <t>Michael Martin</t>
  </si>
  <si>
    <t>michael.martin@google.com</t>
  </si>
  <si>
    <t>322.373.1071x24305</t>
  </si>
  <si>
    <t>56559 Gomez Spurs Suite 033, Katieland, SC 24495</t>
  </si>
  <si>
    <t>Ronald Riggs</t>
  </si>
  <si>
    <t>ronald.riggs@intel.com</t>
  </si>
  <si>
    <t>212.978.9963x27366</t>
  </si>
  <si>
    <t>185 Lopez Wall, Millerville, MI 46062</t>
  </si>
  <si>
    <t>Lindsey Gutierrez</t>
  </si>
  <si>
    <t>lindsey.gutierrez@amazon.com</t>
  </si>
  <si>
    <t>356-219-0315x1358</t>
  </si>
  <si>
    <t>PSC 7621, Box 6586, APO AA 67118</t>
  </si>
  <si>
    <t>Michele Bell</t>
  </si>
  <si>
    <t>michele.bell@google.com</t>
  </si>
  <si>
    <t>(475)297-3706x7301</t>
  </si>
  <si>
    <t>02726 Munoz Mall Suite 325, Goodfurt, GA 21642</t>
  </si>
  <si>
    <t>Michael Cervantes</t>
  </si>
  <si>
    <t>michael.cervantes@microsoft.com</t>
  </si>
  <si>
    <t>1454 Chelsea Crossing, South Jennifer, SD 94030</t>
  </si>
  <si>
    <t>Lisa Dyer</t>
  </si>
  <si>
    <t>lisa.dyer@amazon.com</t>
  </si>
  <si>
    <t>+1-808-786-8524x474</t>
  </si>
  <si>
    <t>5482 Erika Lakes Suite 098, Nicoleborough, ID 35670</t>
  </si>
  <si>
    <t>Bill Barker</t>
  </si>
  <si>
    <t>bill.barker@microsoft.com</t>
  </si>
  <si>
    <t>(852)409-4538x4454</t>
  </si>
  <si>
    <t>236 Acosta Shores, Justinchester, NJ 87355</t>
  </si>
  <si>
    <t>Thomas Miller</t>
  </si>
  <si>
    <t>thomas.miller@apple.com</t>
  </si>
  <si>
    <t>10577 Amy Extensions Suite 162, Millerport, MT 71224</t>
  </si>
  <si>
    <t>Donna Scott</t>
  </si>
  <si>
    <t>donna.scott@tesla.com</t>
  </si>
  <si>
    <t>474.172.5146x16475</t>
  </si>
  <si>
    <t>218 Moore Drive, Daniellemouth, GA 02852</t>
  </si>
  <si>
    <t>Randy Roberts</t>
  </si>
  <si>
    <t>randy.roberts@intel.com</t>
  </si>
  <si>
    <t>454.232.1762</t>
  </si>
  <si>
    <t>364 Gary Bridge, Kimberlyfurt, OH 67821</t>
  </si>
  <si>
    <t>Thomas Adams</t>
  </si>
  <si>
    <t>thomas.adams@apple.com</t>
  </si>
  <si>
    <t>+1-243-539-6474x79096</t>
  </si>
  <si>
    <t>18240 Phillips Neck, New Thomas, CT 32073</t>
  </si>
  <si>
    <t>John Williams</t>
  </si>
  <si>
    <t>john.williams@netflix.com</t>
  </si>
  <si>
    <t>066-607-3846</t>
  </si>
  <si>
    <t>6350 Gary Motorway Apt. 217, Michaelstad, NJ 70103</t>
  </si>
  <si>
    <t>Benjamin Hansen</t>
  </si>
  <si>
    <t>benjamin.hansen@ibm.com</t>
  </si>
  <si>
    <t>001-848-313-3858x30242</t>
  </si>
  <si>
    <t>USCGC Yang, FPO AA 18868</t>
  </si>
  <si>
    <t>Christopher Mccoy</t>
  </si>
  <si>
    <t>christopher.mccoy@amazon.com</t>
  </si>
  <si>
    <t>+1-316-820-2268x79038</t>
  </si>
  <si>
    <t>2181 James Extension Suite 885, Marshallborough, MS 54826</t>
  </si>
  <si>
    <t>Brandon Reed</t>
  </si>
  <si>
    <t>brandon.reed@ibm.com</t>
  </si>
  <si>
    <t>138 Burns Islands, Beckyton, KY 57371</t>
  </si>
  <si>
    <t>Wendy Johnson</t>
  </si>
  <si>
    <t>wendy.johnson@ibm.com</t>
  </si>
  <si>
    <t>195.193.7345</t>
  </si>
  <si>
    <t>424 Jackson Village Suite 222, East Amandafort, SC 04518</t>
  </si>
  <si>
    <t>Kristi Stevenson</t>
  </si>
  <si>
    <t>kristi.stevenson@google.com</t>
  </si>
  <si>
    <t>(242)314-5116x5864</t>
  </si>
  <si>
    <t>9803 Bryant Garden, Suttonmouth, WA 30217</t>
  </si>
  <si>
    <t>Michael Williams</t>
  </si>
  <si>
    <t>michael.williams@facebook.com</t>
  </si>
  <si>
    <t>+1-564-763-1316x7282</t>
  </si>
  <si>
    <t>167 Woods Garden Suite 008, Andreaberg, MI 97271</t>
  </si>
  <si>
    <t>Paul Dunn</t>
  </si>
  <si>
    <t>paul.dunn@ibm.com</t>
  </si>
  <si>
    <t>001-230-972-7863</t>
  </si>
  <si>
    <t>221 Terri Circle, Port Kevinshire, MS 88033</t>
  </si>
  <si>
    <t>Danielle Hunt</t>
  </si>
  <si>
    <t>danielle.hunt@adobe.com</t>
  </si>
  <si>
    <t>(221)780-1454</t>
  </si>
  <si>
    <t>7773 Owens Parkways, West Kelly, VT 73479</t>
  </si>
  <si>
    <t>Holly Green</t>
  </si>
  <si>
    <t>holly.green@amazon.com</t>
  </si>
  <si>
    <t>722.957.5872</t>
  </si>
  <si>
    <t>522 Chang Hollow, Erikaton, WY 72321</t>
  </si>
  <si>
    <t>Suzanne Grimes</t>
  </si>
  <si>
    <t>suzanne.grimes@apple.com</t>
  </si>
  <si>
    <t>Unit 2515 Box 1229, DPO AE 10272</t>
  </si>
  <si>
    <t>Robert Cox</t>
  </si>
  <si>
    <t>robert.cox@amazon.com</t>
  </si>
  <si>
    <t>302-582-8469x43397</t>
  </si>
  <si>
    <t>336 Armstrong Valley Apt. 490, Joshuafurt, OR 76355</t>
  </si>
  <si>
    <t>Candice Robinson</t>
  </si>
  <si>
    <t>candice.robinson@amazon.com</t>
  </si>
  <si>
    <t>001-818-430-5029x43372</t>
  </si>
  <si>
    <t>5683 Mark Mountain Suite 736, Sarahside, AR 93650</t>
  </si>
  <si>
    <t>Sandra Keller</t>
  </si>
  <si>
    <t>sandra.keller@intel.com</t>
  </si>
  <si>
    <t>8178 Smith Ranch Apt. 020, Port Brandi, MT 79677</t>
  </si>
  <si>
    <t>Bethany Wallace</t>
  </si>
  <si>
    <t>bethany.wallace@adobe.com</t>
  </si>
  <si>
    <t>001-654-551-2403x7078</t>
  </si>
  <si>
    <t>961 Henry Route Apt. 093, Davidview, DE 56458</t>
  </si>
  <si>
    <t>Brian Parker</t>
  </si>
  <si>
    <t>brian.parker@tesla.com</t>
  </si>
  <si>
    <t>905 Phillip Bridge Apt. 552, New Nathan, CO 31516</t>
  </si>
  <si>
    <t>Mr. Thomas White</t>
  </si>
  <si>
    <t>mr..thomas.white@netflix.com</t>
  </si>
  <si>
    <t>+1-902-407-6055x506</t>
  </si>
  <si>
    <t>Unit 8478 Box 2284, DPO AE 00618</t>
  </si>
  <si>
    <t>Kimberly Kennedy</t>
  </si>
  <si>
    <t>kimberly.kennedy@microsoft.com</t>
  </si>
  <si>
    <t>(725)179-2721x04430</t>
  </si>
  <si>
    <t>72448 Holmes Rue Suite 687, North Linda, WI 82602</t>
  </si>
  <si>
    <t>Lee Massey</t>
  </si>
  <si>
    <t>lee.massey@apple.com</t>
  </si>
  <si>
    <t>001-063-259-0538</t>
  </si>
  <si>
    <t>8952 Mann Port, Meganberg, ND 20155</t>
  </si>
  <si>
    <t>Robert Gardner</t>
  </si>
  <si>
    <t>robert.gardner@adobe.com</t>
  </si>
  <si>
    <t>001-227-761-6477x309</t>
  </si>
  <si>
    <t>93074 Robert Corners, Kevinbury, OH 73826</t>
  </si>
  <si>
    <t>Amanda Miller</t>
  </si>
  <si>
    <t>amanda.miller@google.com</t>
  </si>
  <si>
    <t>001-432-536-5219x84521</t>
  </si>
  <si>
    <t>0254 Bruce Ports, Lake Randyport, VT 09405</t>
  </si>
  <si>
    <t>Joanna Young</t>
  </si>
  <si>
    <t>joanna.young@facebook.com</t>
  </si>
  <si>
    <t>692-159-4567x3449</t>
  </si>
  <si>
    <t>USNS Martinez, FPO AE 38372</t>
  </si>
  <si>
    <t>Ian Garcia</t>
  </si>
  <si>
    <t>ian.garcia@facebook.com</t>
  </si>
  <si>
    <t>909-649-6051</t>
  </si>
  <si>
    <t>91287 Mathis Club Apt. 725, Patricialand, NV 52566</t>
  </si>
  <si>
    <t>Catherine Lucas</t>
  </si>
  <si>
    <t>catherine.lucas@adobe.com</t>
  </si>
  <si>
    <t>001-414-973-7429x885</t>
  </si>
  <si>
    <t>6256 Susan Ranch, West Jimmyview, OH 45692</t>
  </si>
  <si>
    <t>Emily Kramer</t>
  </si>
  <si>
    <t>emily.kramer@adobe.com</t>
  </si>
  <si>
    <t>001-806-045-7660x4947</t>
  </si>
  <si>
    <t>76398 Allen Skyway, Bennettborough, VA 09258</t>
  </si>
  <si>
    <t>Kimberly Spencer</t>
  </si>
  <si>
    <t>kimberly.spencer@ibm.com</t>
  </si>
  <si>
    <t>376-766-2237x435</t>
  </si>
  <si>
    <t>261 Sellers Cove Suite 449, New Jessicaburgh, PA 02355</t>
  </si>
  <si>
    <t>Megan Wright</t>
  </si>
  <si>
    <t>megan.wright@apple.com</t>
  </si>
  <si>
    <t>697-360-1001</t>
  </si>
  <si>
    <t>7331 James Locks Apt. 518, Melissaburgh, NM 78703</t>
  </si>
  <si>
    <t>Christina Schmidt</t>
  </si>
  <si>
    <t>christina.schmidt@apple.com</t>
  </si>
  <si>
    <t>+1-296-123-7322x8933</t>
  </si>
  <si>
    <t>176 Scott Well, Adamtown, MI 08856</t>
  </si>
  <si>
    <t>Julia White</t>
  </si>
  <si>
    <t>julia.white@adobe.com</t>
  </si>
  <si>
    <t>701 Joe Street, Harringtonland, WI 90553</t>
  </si>
  <si>
    <t>Alicia Hanna</t>
  </si>
  <si>
    <t>alicia.hanna@apple.com</t>
  </si>
  <si>
    <t>938-811-9485</t>
  </si>
  <si>
    <t>192 Barnett Land Suite 941, East Maria, VA 14602</t>
  </si>
  <si>
    <t>Carol Gonzalez</t>
  </si>
  <si>
    <t>carol.gonzalez@intel.com</t>
  </si>
  <si>
    <t>001-780-291-8103</t>
  </si>
  <si>
    <t>47558 Browning Street Suite 414, Barnestown, SC 63588</t>
  </si>
  <si>
    <t>Mason Brown</t>
  </si>
  <si>
    <t>mason.brown@amazon.com</t>
  </si>
  <si>
    <t>001-722-787-9084</t>
  </si>
  <si>
    <t>17514 Jones Inlet, North Erica, SC 94728</t>
  </si>
  <si>
    <t>Christine Porter</t>
  </si>
  <si>
    <t>christine.porter@ibm.com</t>
  </si>
  <si>
    <t>199-233-5168</t>
  </si>
  <si>
    <t>003 Mahoney Radial Apt. 045, Melanieside, RI 59042</t>
  </si>
  <si>
    <t>Johnny Arnold</t>
  </si>
  <si>
    <t>johnny.arnold@microsoft.com</t>
  </si>
  <si>
    <t>(068)357-9439</t>
  </si>
  <si>
    <t>159 Howell Knoll Apt. 262, Shortberg, TN 33635</t>
  </si>
  <si>
    <t>Curtis Williamson</t>
  </si>
  <si>
    <t>curtis.williamson@tesla.com</t>
  </si>
  <si>
    <t>67088 Peter Heights Suite 085, Jacksonberg, WY 52834</t>
  </si>
  <si>
    <t>Omar Ingram</t>
  </si>
  <si>
    <t>omar.ingram@apple.com</t>
  </si>
  <si>
    <t>799.102.8039</t>
  </si>
  <si>
    <t>932 Jasmine Haven, Gonzalezview, IA 60525</t>
  </si>
  <si>
    <t>Cody Walton</t>
  </si>
  <si>
    <t>cody.walton@ibm.com</t>
  </si>
  <si>
    <t>001-117-778-5290x6310</t>
  </si>
  <si>
    <t>808 Walker Harbors, Thomastown, MN 29327</t>
  </si>
  <si>
    <t>Tracey Mckee</t>
  </si>
  <si>
    <t>tracey.mckee@apple.com</t>
  </si>
  <si>
    <t>076 Derek Heights, Kimburgh, NY 62818</t>
  </si>
  <si>
    <t>Joel Jones</t>
  </si>
  <si>
    <t>joel.jones@adobe.com</t>
  </si>
  <si>
    <t>514-802-2265x5695</t>
  </si>
  <si>
    <t>1625 Thompson Junction, Lake Samantha, RI 12229</t>
  </si>
  <si>
    <t>Rebecca Edwards</t>
  </si>
  <si>
    <t>rebecca.edwards@google.com</t>
  </si>
  <si>
    <t>752-225-3377x27408</t>
  </si>
  <si>
    <t>87791 Lisa Bypass, Craigland, DE 48934</t>
  </si>
  <si>
    <t>Kelly Morrow</t>
  </si>
  <si>
    <t>kelly.morrow@microsoft.com</t>
  </si>
  <si>
    <t>549.392.6193</t>
  </si>
  <si>
    <t>072 Barajas Creek Suite 967, West Timothyshire, ME 25836</t>
  </si>
  <si>
    <t>Melanie Morris</t>
  </si>
  <si>
    <t>melanie.morris@intel.com</t>
  </si>
  <si>
    <t>001-707-078-5822x4136</t>
  </si>
  <si>
    <t>9724 Hughes Crescent, Chanbury, KY 97904</t>
  </si>
  <si>
    <t>Jodi Harris</t>
  </si>
  <si>
    <t>jodi.harris@ibm.com</t>
  </si>
  <si>
    <t>(811)820-1031</t>
  </si>
  <si>
    <t>494 Griffith Skyway Suite 642, Priceville, IN 28300</t>
  </si>
  <si>
    <t>Sarah Contreras</t>
  </si>
  <si>
    <t>sarah.contreras@apple.com</t>
  </si>
  <si>
    <t>143.609.1909x793</t>
  </si>
  <si>
    <t>82145 Julie Falls Apt. 332, Cainstad, WI 61343</t>
  </si>
  <si>
    <t>Nathan Thomas</t>
  </si>
  <si>
    <t>nathan.thomas@apple.com</t>
  </si>
  <si>
    <t>+1-335-429-6382x175</t>
  </si>
  <si>
    <t>PSC 7985, Box 6105, APO AP 20820</t>
  </si>
  <si>
    <t>Eric Schmidt</t>
  </si>
  <si>
    <t>eric.schmidt@tesla.com</t>
  </si>
  <si>
    <t>124-951-8536</t>
  </si>
  <si>
    <t>1923 Wise Track, New Daniel, ND 50260</t>
  </si>
  <si>
    <t>Jose Stewart Jr.</t>
  </si>
  <si>
    <t>jose.stewart.jr.@google.com</t>
  </si>
  <si>
    <t>(170)272-1489x74175</t>
  </si>
  <si>
    <t>2754 Barker Stravenue Suite 511, Alyssafurt, WV 12313</t>
  </si>
  <si>
    <t>Linda Johns</t>
  </si>
  <si>
    <t>linda.johns@google.com</t>
  </si>
  <si>
    <t>949-343-3887</t>
  </si>
  <si>
    <t>315 Holly Forge, Garciahaven, IN 42447</t>
  </si>
  <si>
    <t>Alicia Garcia MD</t>
  </si>
  <si>
    <t>alicia.garcia.md@tesla.com</t>
  </si>
  <si>
    <t>001-472-767-5516x78271</t>
  </si>
  <si>
    <t>05362 Sharon Trace, Perryberg, MO 46640</t>
  </si>
  <si>
    <t>Justin Smith</t>
  </si>
  <si>
    <t>justin.smith@facebook.com</t>
  </si>
  <si>
    <t>(677)723-0974x4868</t>
  </si>
  <si>
    <t>9775 Kyle Isle Apt. 207, Brandonberg, ME 46963</t>
  </si>
  <si>
    <t>Tara Harrison</t>
  </si>
  <si>
    <t>tara.harrison@amazon.com</t>
  </si>
  <si>
    <t>001-725-057-6279x67956</t>
  </si>
  <si>
    <t>6594 Todd Ridges Apt. 426, Laurenburgh, KS 07581</t>
  </si>
  <si>
    <t>Jeffrey Watkins</t>
  </si>
  <si>
    <t>jeffrey.watkins@microsoft.com</t>
  </si>
  <si>
    <t>8807 Madeline Summit, South Randall, AL 44424</t>
  </si>
  <si>
    <t>Tammie Robinson</t>
  </si>
  <si>
    <t>tammie.robinson@netflix.com</t>
  </si>
  <si>
    <t>(472)519-9051x386</t>
  </si>
  <si>
    <t>8140 Fernandez Fall, Romerofort, AZ 83993</t>
  </si>
  <si>
    <t>Derrick Love</t>
  </si>
  <si>
    <t>derrick.love@amazon.com</t>
  </si>
  <si>
    <t>001-963-051-9779x4127</t>
  </si>
  <si>
    <t>88930 Giles Plaza Apt. 310, Hortonstad, ME 19865</t>
  </si>
  <si>
    <t>Catherine Cervantes</t>
  </si>
  <si>
    <t>catherine.cervantes@google.com</t>
  </si>
  <si>
    <t>001-708-891-5159</t>
  </si>
  <si>
    <t>45959 Andrea Trace, Smithberg, OR 85849</t>
  </si>
  <si>
    <t>Bruce Wolf</t>
  </si>
  <si>
    <t>bruce.wolf@ibm.com</t>
  </si>
  <si>
    <t>135.139.6474</t>
  </si>
  <si>
    <t>798 Madison Stravenue Apt. 295, West Monicaburgh, NM 97579</t>
  </si>
  <si>
    <t>Jessica Parker</t>
  </si>
  <si>
    <t>jessica.parker@facebook.com</t>
  </si>
  <si>
    <t>179.184.8104</t>
  </si>
  <si>
    <t>88801 Watson Ridges Apt. 538, Obrienport, OK 52043</t>
  </si>
  <si>
    <t>Cory Lee</t>
  </si>
  <si>
    <t>cory.lee@netflix.com</t>
  </si>
  <si>
    <t>42457 Lamb Green Suite 476, South Kayleeside, NY 85056</t>
  </si>
  <si>
    <t>Nicholas Martin</t>
  </si>
  <si>
    <t>nicholas.martin@amazon.com</t>
  </si>
  <si>
    <t>USCGC Rojas, FPO AE 83914</t>
  </si>
  <si>
    <t>Walter Hunter</t>
  </si>
  <si>
    <t>walter.hunter@google.com</t>
  </si>
  <si>
    <t>52889 Howard Manors Suite 556, West Tiffany, IL 28287</t>
  </si>
  <si>
    <t>Timothy Moss</t>
  </si>
  <si>
    <t>timothy.moss@microsoft.com</t>
  </si>
  <si>
    <t>001-392-186-8715x16019</t>
  </si>
  <si>
    <t>899 Joshua Inlet, Gloverstad, KY 69225</t>
  </si>
  <si>
    <t>Timothy Norton</t>
  </si>
  <si>
    <t>timothy.norton@microsoft.com</t>
  </si>
  <si>
    <t>(250)733-8956x372</t>
  </si>
  <si>
    <t>188 Ronald Way, Randyberg, KY 63914</t>
  </si>
  <si>
    <t>christopher.white@google.com</t>
  </si>
  <si>
    <t>+1-529-297-1545x9829</t>
  </si>
  <si>
    <t>1102 Robinson Walks, East Marciaton, OK 41958</t>
  </si>
  <si>
    <t>Rebecca Clark</t>
  </si>
  <si>
    <t>rebecca.clark@netflix.com</t>
  </si>
  <si>
    <t>+1-436-713-2240x262</t>
  </si>
  <si>
    <t>64670 Veronica Landing, Erinmouth, KS 12925</t>
  </si>
  <si>
    <t>Jasmin Nelson</t>
  </si>
  <si>
    <t>jasmin.nelson@adobe.com</t>
  </si>
  <si>
    <t>(045)332-4949</t>
  </si>
  <si>
    <t>137 Johnston Route Apt. 876, Alisontown, WY 29334</t>
  </si>
  <si>
    <t>Alicia Davis</t>
  </si>
  <si>
    <t>alicia.davis@intel.com</t>
  </si>
  <si>
    <t>001-849-063-8321</t>
  </si>
  <si>
    <t>9350 Karen Bypass Apt. 115, Youngview, MA 57422</t>
  </si>
  <si>
    <t>Kathryn Hamilton</t>
  </si>
  <si>
    <t>kathryn.hamilton@google.com</t>
  </si>
  <si>
    <t>528-193-8781</t>
  </si>
  <si>
    <t>253 Monique Dale Apt. 887, East Lisaland, LA 45043</t>
  </si>
  <si>
    <t>Erica Herrera</t>
  </si>
  <si>
    <t>erica.herrera@apple.com</t>
  </si>
  <si>
    <t>(153)442-7716x9060</t>
  </si>
  <si>
    <t>1443 Mitchell Row Suite 284, West Kyle, AR 50636</t>
  </si>
  <si>
    <t>James Serrano</t>
  </si>
  <si>
    <t>james.serrano@amazon.com</t>
  </si>
  <si>
    <t>504-009-5821</t>
  </si>
  <si>
    <t>7811 Marissa Expressway Apt. 280, Johnnyside, MS 82970</t>
  </si>
  <si>
    <t>Tony Garner</t>
  </si>
  <si>
    <t>tony.garner@microsoft.com</t>
  </si>
  <si>
    <t>013.279.7740x2831</t>
  </si>
  <si>
    <t>089 Sharon Roads, Christinaside, AL 76369</t>
  </si>
  <si>
    <t>Edward Patterson</t>
  </si>
  <si>
    <t>edward.patterson@amazon.com</t>
  </si>
  <si>
    <t>263-587-4027x1778</t>
  </si>
  <si>
    <t>487 Anthony Ferry, Smithberg, KY 05475</t>
  </si>
  <si>
    <t>Monica Snyder</t>
  </si>
  <si>
    <t>monica.snyder@apple.com</t>
  </si>
  <si>
    <t>82109 John Crossroad, Port Teresashire, NC 68841</t>
  </si>
  <si>
    <t>Christopher Cline</t>
  </si>
  <si>
    <t>christopher.cline@intel.com</t>
  </si>
  <si>
    <t>Unit 5590 Box 5365, DPO AA 39680</t>
  </si>
  <si>
    <t>Kayla Jimenez DVM</t>
  </si>
  <si>
    <t>kayla.jimenez.dvm@intel.com</t>
  </si>
  <si>
    <t>449.728.6990x7791</t>
  </si>
  <si>
    <t>540 Jerry Lodge Suite 376, Lake Wandatown, NH 47012</t>
  </si>
  <si>
    <t>Brian Brown</t>
  </si>
  <si>
    <t>brian.brown@tesla.com</t>
  </si>
  <si>
    <t>330-524-1225</t>
  </si>
  <si>
    <t>97874 George Tunnel Suite 651, Susanberg, AR 30673</t>
  </si>
  <si>
    <t>Nicole Smith</t>
  </si>
  <si>
    <t>nicole.smith@apple.com</t>
  </si>
  <si>
    <t>(215)429-6233</t>
  </si>
  <si>
    <t>948 Richard Shoal, Robertland, SC 74394</t>
  </si>
  <si>
    <t>Cassidy Brown</t>
  </si>
  <si>
    <t>cassidy.brown@apple.com</t>
  </si>
  <si>
    <t>001-101-724-9181x304</t>
  </si>
  <si>
    <t>688 Shelton Field Apt. 144, South Bruce, NC 62040</t>
  </si>
  <si>
    <t>Martin Park</t>
  </si>
  <si>
    <t>martin.park@amazon.com</t>
  </si>
  <si>
    <t>(149)391-1787x2614</t>
  </si>
  <si>
    <t>166 Jeffrey Way, North Brittany, OH 39166</t>
  </si>
  <si>
    <t>Jennifer Gross</t>
  </si>
  <si>
    <t>jennifer.gross@adobe.com</t>
  </si>
  <si>
    <t>001-646-956-5732</t>
  </si>
  <si>
    <t>543 Davis Harbors Suite 794, Banksstad, MA 70747</t>
  </si>
  <si>
    <t>Alison Nelson</t>
  </si>
  <si>
    <t>alison.nelson@microsoft.com</t>
  </si>
  <si>
    <t>+1-871-828-0404x521</t>
  </si>
  <si>
    <t>737 Melanie Station Apt. 815, North Jasonfort, DC 02799</t>
  </si>
  <si>
    <t>Veronica Welch</t>
  </si>
  <si>
    <t>veronica.welch@intel.com</t>
  </si>
  <si>
    <t>(601)462-1788</t>
  </si>
  <si>
    <t>21788 Jordan Loaf Apt. 638, North Johnborough, OH 41540</t>
  </si>
  <si>
    <t>Maria Peters</t>
  </si>
  <si>
    <t>maria.peters@intel.com</t>
  </si>
  <si>
    <t>267-929-8141</t>
  </si>
  <si>
    <t>86147 Johns Hill Suite 517, West Jennastad, NY 88596</t>
  </si>
  <si>
    <t>Teresa Herrera</t>
  </si>
  <si>
    <t>teresa.herrera@tesla.com</t>
  </si>
  <si>
    <t>087-040-5769x93518</t>
  </si>
  <si>
    <t>102 Walker Station Suite 841, Ellischester, NC 55111</t>
  </si>
  <si>
    <t>Angela Romero</t>
  </si>
  <si>
    <t>angela.romero@apple.com</t>
  </si>
  <si>
    <t>110-089-3777x4125</t>
  </si>
  <si>
    <t>USNV Braun, FPO AP 72523</t>
  </si>
  <si>
    <t>Steven Jarvis</t>
  </si>
  <si>
    <t>steven.jarvis@facebook.com</t>
  </si>
  <si>
    <t>610.979.3576x9861</t>
  </si>
  <si>
    <t>1723 Jorge Row, New Brianmouth, NY 90528</t>
  </si>
  <si>
    <t>Louis Brown</t>
  </si>
  <si>
    <t>louis.brown@adobe.com</t>
  </si>
  <si>
    <t>853 David Plain, Bartlettmouth, MA 29025</t>
  </si>
  <si>
    <t>Danny Williams</t>
  </si>
  <si>
    <t>danny.williams@facebook.com</t>
  </si>
  <si>
    <t>001-400-877-3140</t>
  </si>
  <si>
    <t>98848 Tracy Via Suite 217, Watsonfurt, NY 76833</t>
  </si>
  <si>
    <t>Joanna Holland</t>
  </si>
  <si>
    <t>joanna.holland@amazon.com</t>
  </si>
  <si>
    <t>+1-848-973-4751x2446</t>
  </si>
  <si>
    <t>09479 Nichols Bridge Apt. 985, Escobarhaven, OH 34979</t>
  </si>
  <si>
    <t>Roy Clark Jr.</t>
  </si>
  <si>
    <t>roy.clark.jr.@tesla.com</t>
  </si>
  <si>
    <t>627-386-8161x66163</t>
  </si>
  <si>
    <t>8979 Wilson Ranch Apt. 309, Lake Natashaville, ME 08285</t>
  </si>
  <si>
    <t>Maria Yates</t>
  </si>
  <si>
    <t>maria.yates@netflix.com</t>
  </si>
  <si>
    <t>57682 Holmes Mews, Ramirezport, NE 60269</t>
  </si>
  <si>
    <t>Nicole Jackson</t>
  </si>
  <si>
    <t>nicole.jackson@intel.com</t>
  </si>
  <si>
    <t>893-219-5079</t>
  </si>
  <si>
    <t>12205 Leslie Dam, Davidfurt, CO 42896</t>
  </si>
  <si>
    <t>John Pacheco</t>
  </si>
  <si>
    <t>john.pacheco@intel.com</t>
  </si>
  <si>
    <t>(942)032-1198x7361</t>
  </si>
  <si>
    <t>56567 Christopher Junction Apt. 436, Lake Teresatown, TX 10906</t>
  </si>
  <si>
    <t>Jeffery Nguyen</t>
  </si>
  <si>
    <t>jeffery.nguyen@netflix.com</t>
  </si>
  <si>
    <t>791.495.2213</t>
  </si>
  <si>
    <t>0768 Rice Roads, Josephview, ME 97852</t>
  </si>
  <si>
    <t>Ronald Rojas</t>
  </si>
  <si>
    <t>ronald.rojas@ibm.com</t>
  </si>
  <si>
    <t>494-386-2325x3332</t>
  </si>
  <si>
    <t>574 Luis Road, Lake Robert, CT 73104</t>
  </si>
  <si>
    <t>Betty Johnson</t>
  </si>
  <si>
    <t>betty.johnson@amazon.com</t>
  </si>
  <si>
    <t>(659)091-5913</t>
  </si>
  <si>
    <t>248 Owens Tunnel, Port Kenneth, HI 58647</t>
  </si>
  <si>
    <t>Scott Peters</t>
  </si>
  <si>
    <t>scott.peters@ibm.com</t>
  </si>
  <si>
    <t>350.639.1577</t>
  </si>
  <si>
    <t>34312 Jones Meadow Suite 339, Toddton, WI 30778</t>
  </si>
  <si>
    <t>Clifford Robbins</t>
  </si>
  <si>
    <t>clifford.robbins@amazon.com</t>
  </si>
  <si>
    <t>(567)632-0198x793</t>
  </si>
  <si>
    <t>53479 John Mall, South Paulbury, OK 03592</t>
  </si>
  <si>
    <t>Leah Miller</t>
  </si>
  <si>
    <t>leah.miller@amazon.com</t>
  </si>
  <si>
    <t>(329)249-7053</t>
  </si>
  <si>
    <t>581 Miller Union, Williamschester, PA 68531</t>
  </si>
  <si>
    <t>Robin Thompson</t>
  </si>
  <si>
    <t>robin.thompson@netflix.com</t>
  </si>
  <si>
    <t>001-504-911-5178x66429</t>
  </si>
  <si>
    <t>74024 Nicole Ridges, West Jeffery, PA 82055</t>
  </si>
  <si>
    <t>Kevin Hester</t>
  </si>
  <si>
    <t>kevin.hester@adobe.com</t>
  </si>
  <si>
    <t>(237)448-1546</t>
  </si>
  <si>
    <t>576 Blake Course, Lake Stephenborough, TN 80601</t>
  </si>
  <si>
    <t>Shannon Osborne</t>
  </si>
  <si>
    <t>shannon.osborne@tesla.com</t>
  </si>
  <si>
    <t>298-923-0588x7407</t>
  </si>
  <si>
    <t>24171 Nelson Land Apt. 947, New Amy, SC 88751</t>
  </si>
  <si>
    <t>Craig Lopez</t>
  </si>
  <si>
    <t>craig.lopez@adobe.com</t>
  </si>
  <si>
    <t>545-896-2165</t>
  </si>
  <si>
    <t>3933 Thomas Brooks Apt. 267, Guerrerofurt, DC 57862</t>
  </si>
  <si>
    <t>John Lee</t>
  </si>
  <si>
    <t>john.lee@intel.com</t>
  </si>
  <si>
    <t>554 Julia Fork Suite 725, Lake Chloeport, WV 94692</t>
  </si>
  <si>
    <t>David Lindsey</t>
  </si>
  <si>
    <t>david.lindsey@ibm.com</t>
  </si>
  <si>
    <t>364-522-1429x115</t>
  </si>
  <si>
    <t>64924 Deanna Forest Suite 936, South Mitchellburgh, PA 13981</t>
  </si>
  <si>
    <t>Kevin Garrett</t>
  </si>
  <si>
    <t>kevin.garrett@tesla.com</t>
  </si>
  <si>
    <t>+1-950-495-4349x47234</t>
  </si>
  <si>
    <t>508 Jimenez Plain Suite 477, Port Nicholehaven, AK 80594</t>
  </si>
  <si>
    <t>Joseph Browning</t>
  </si>
  <si>
    <t>joseph.browning@tesla.com</t>
  </si>
  <si>
    <t>402-475-3548x2026</t>
  </si>
  <si>
    <t>2366 Gill Parkways Suite 347, North Marthachester, NY 23245</t>
  </si>
  <si>
    <t>Amanda Gomez</t>
  </si>
  <si>
    <t>amanda.gomez@ibm.com</t>
  </si>
  <si>
    <t>001-294-966-5503</t>
  </si>
  <si>
    <t>34673 Kelsey Brook, West Katieberg, LA 07863</t>
  </si>
  <si>
    <t>Michael Norman</t>
  </si>
  <si>
    <t>michael.norman@apple.com</t>
  </si>
  <si>
    <t>+1-556-987-3466x30052</t>
  </si>
  <si>
    <t>72430 Kristen Meadows Apt. 980, Rebeccafort, OK 76211</t>
  </si>
  <si>
    <t>Jill Watson</t>
  </si>
  <si>
    <t>jill.watson@microsoft.com</t>
  </si>
  <si>
    <t>+1-746-124-6686x5570</t>
  </si>
  <si>
    <t>9137 Houston Vista, South Theresa, MD 50465</t>
  </si>
  <si>
    <t>Tina Johnson DVM</t>
  </si>
  <si>
    <t>tina.johnson.dvm@google.com</t>
  </si>
  <si>
    <t>(216)756-3249x9535</t>
  </si>
  <si>
    <t>246 Brooks Prairie Apt. 689, Blackwellbury, MD 95520</t>
  </si>
  <si>
    <t>Adam Jones</t>
  </si>
  <si>
    <t>adam.jones@intel.com</t>
  </si>
  <si>
    <t>(493)864-0199x95904</t>
  </si>
  <si>
    <t>66081 Sanders Haven, East Gailtown, MD 33911</t>
  </si>
  <si>
    <t>Amanda Crane</t>
  </si>
  <si>
    <t>amanda.crane@amazon.com</t>
  </si>
  <si>
    <t>247-631-1468</t>
  </si>
  <si>
    <t>1698 Emily Expressway, North Shaun, IN 06507</t>
  </si>
  <si>
    <t>Gloria Vasquez</t>
  </si>
  <si>
    <t>gloria.vasquez@tesla.com</t>
  </si>
  <si>
    <t>001-904-581-7477</t>
  </si>
  <si>
    <t>2532 Michelle Mountains Suite 273, Lake Phyllisborough, UT 61673</t>
  </si>
  <si>
    <t>Kaitlin Dunn</t>
  </si>
  <si>
    <t>kaitlin.dunn@adobe.com</t>
  </si>
  <si>
    <t>+1-194-926-3313x302</t>
  </si>
  <si>
    <t>36979 Meyer Crossing Apt. 417, East Davidborough, TN 70830</t>
  </si>
  <si>
    <t>Jon Chambers</t>
  </si>
  <si>
    <t>jon.chambers@adobe.com</t>
  </si>
  <si>
    <t>(474)743-0476x4891</t>
  </si>
  <si>
    <t>584 Julie Squares Apt. 008, Juliestad, DC 25581</t>
  </si>
  <si>
    <t>Justin Jackson</t>
  </si>
  <si>
    <t>justin.jackson@amazon.com</t>
  </si>
  <si>
    <t>318-913-7652</t>
  </si>
  <si>
    <t>100 Wiley Hill Apt. 460, New Michaelmouth, GA 18109</t>
  </si>
  <si>
    <t>Rodney Nunez</t>
  </si>
  <si>
    <t>rodney.nunez@facebook.com</t>
  </si>
  <si>
    <t>(183)681-9604x74043</t>
  </si>
  <si>
    <t>669 Bell Street Suite 653, Tiffanyfurt, HI 89174</t>
  </si>
  <si>
    <t>Cassandra Shaw</t>
  </si>
  <si>
    <t>cassandra.shaw@ibm.com</t>
  </si>
  <si>
    <t>183-840-6770</t>
  </si>
  <si>
    <t>360 Brenda Grove, Robertfort, OK 49641</t>
  </si>
  <si>
    <t>Mitchell Wells</t>
  </si>
  <si>
    <t>mitchell.wells@amazon.com</t>
  </si>
  <si>
    <t>+1-353-308-0991x29721</t>
  </si>
  <si>
    <t>57373 Frederick Flat, East Phillip, NH 69953</t>
  </si>
  <si>
    <t>Jeremy Meyers</t>
  </si>
  <si>
    <t>jeremy.meyers@amazon.com</t>
  </si>
  <si>
    <t>(435)770-4667x67131</t>
  </si>
  <si>
    <t>503 Becky Locks, Port Douglas, AR 49361</t>
  </si>
  <si>
    <t>Steven Stone</t>
  </si>
  <si>
    <t>steven.stone@google.com</t>
  </si>
  <si>
    <t>934.993.3203x4238</t>
  </si>
  <si>
    <t>363 Bryce Estates Suite 492, East Stevenview, VT 24192</t>
  </si>
  <si>
    <t>Rita Myers</t>
  </si>
  <si>
    <t>rita.myers@netflix.com</t>
  </si>
  <si>
    <t>924.303.7258</t>
  </si>
  <si>
    <t>54669 Robinson Underpass Suite 040, Port Thomas, IA 70314</t>
  </si>
  <si>
    <t>Amanda Acevedo</t>
  </si>
  <si>
    <t>amanda.acevedo@netflix.com</t>
  </si>
  <si>
    <t>001-031-896-1520</t>
  </si>
  <si>
    <t>5647 Darren Expressway Apt. 994, West April, MD 95120</t>
  </si>
  <si>
    <t>Calvin Nelson</t>
  </si>
  <si>
    <t>calvin.nelson@apple.com</t>
  </si>
  <si>
    <t>764.720.8314x7495</t>
  </si>
  <si>
    <t>2680 Richard Fields Apt. 100, Ashleyburgh, WY 51218</t>
  </si>
  <si>
    <t>Jason Meza</t>
  </si>
  <si>
    <t>jason.meza@tesla.com</t>
  </si>
  <si>
    <t>(154)363-7915x3426</t>
  </si>
  <si>
    <t>5053 Irwin Ways Apt. 859, Cooleyfurt, SC 01346</t>
  </si>
  <si>
    <t>Denise Sullivan</t>
  </si>
  <si>
    <t>denise.sullivan@facebook.com</t>
  </si>
  <si>
    <t>001-170-375-5591</t>
  </si>
  <si>
    <t>452 Sutton Pine, Jessicafurt, SC 49315</t>
  </si>
  <si>
    <t>Paula Mcgrath</t>
  </si>
  <si>
    <t>paula.mcgrath@amazon.com</t>
  </si>
  <si>
    <t>001-534-157-6392</t>
  </si>
  <si>
    <t>7145 Jamie Island, Ayalachester, WA 21160</t>
  </si>
  <si>
    <t>Ryan Brown</t>
  </si>
  <si>
    <t>ryan.brown@google.com</t>
  </si>
  <si>
    <t>(848)983-0611</t>
  </si>
  <si>
    <t>70038 Smith Port, Davidborough, FL 79320</t>
  </si>
  <si>
    <t>Jessica Stone</t>
  </si>
  <si>
    <t>jessica.stone@microsoft.com</t>
  </si>
  <si>
    <t>(481)909-9373</t>
  </si>
  <si>
    <t>1734 Ana Parkway, Fosterland, KY 24950</t>
  </si>
  <si>
    <t>Robert Hall</t>
  </si>
  <si>
    <t>robert.hall@facebook.com</t>
  </si>
  <si>
    <t>+1-714-426-1036x1788</t>
  </si>
  <si>
    <t>8071 Mcgee Mountains Apt. 773, Gillespieton, TX 14016</t>
  </si>
  <si>
    <t>Sarah Stanley</t>
  </si>
  <si>
    <t>sarah.stanley@apple.com</t>
  </si>
  <si>
    <t>036-465-0106x26369</t>
  </si>
  <si>
    <t>13770 Christy Throughway Apt. 706, Juliefort, ND 01142</t>
  </si>
  <si>
    <t>Eric Mathews</t>
  </si>
  <si>
    <t>eric.mathews@microsoft.com</t>
  </si>
  <si>
    <t>+1-303-130-7576x4463</t>
  </si>
  <si>
    <t>38004 Sims Meadow Apt. 424, Glendamouth, HI 12217</t>
  </si>
  <si>
    <t>Thomas Wells</t>
  </si>
  <si>
    <t>thomas.wells@netflix.com</t>
  </si>
  <si>
    <t>928.419.4357x163</t>
  </si>
  <si>
    <t>329 Acosta Passage, Kellyborough, MI 97308</t>
  </si>
  <si>
    <t>Stephanie Dunn</t>
  </si>
  <si>
    <t>stephanie.dunn@microsoft.com</t>
  </si>
  <si>
    <t>438-319-5877</t>
  </si>
  <si>
    <t>474 Stephen View Apt. 478, New Jessica, FL 76050</t>
  </si>
  <si>
    <t>David Hudson</t>
  </si>
  <si>
    <t>david.hudson@tesla.com</t>
  </si>
  <si>
    <t>91292 Quinn Vista Apt. 824, Lake Jodi, SC 68037</t>
  </si>
  <si>
    <t>Elizabeth Freeman</t>
  </si>
  <si>
    <t>elizabeth.freeman@apple.com</t>
  </si>
  <si>
    <t>(927)493-3682x83845</t>
  </si>
  <si>
    <t>USNS Cochran, FPO AE 89099</t>
  </si>
  <si>
    <t>Douglas Butler</t>
  </si>
  <si>
    <t>douglas.butler@ibm.com</t>
  </si>
  <si>
    <t>144-313-4062</t>
  </si>
  <si>
    <t>7197 Strickland Trafficway, Lake John, MT 65847</t>
  </si>
  <si>
    <t>Amanda West</t>
  </si>
  <si>
    <t>amanda.west@ibm.com</t>
  </si>
  <si>
    <t>893-645-2782x94495</t>
  </si>
  <si>
    <t>088 Duane Streets, Shawnhaven, ID 46273</t>
  </si>
  <si>
    <t>Sandra Baker MD</t>
  </si>
  <si>
    <t>sandra.baker.md@intel.com</t>
  </si>
  <si>
    <t>089-103-2150x06084</t>
  </si>
  <si>
    <t>82764 Goodwin Trace, Rosalesbury, NV 94323</t>
  </si>
  <si>
    <t>Bryan Graham</t>
  </si>
  <si>
    <t>bryan.graham@microsoft.com</t>
  </si>
  <si>
    <t>436.943.1432</t>
  </si>
  <si>
    <t>216 Jefferson Islands Suite 221, South Susan, UT 19212</t>
  </si>
  <si>
    <t>Melissa Larsen</t>
  </si>
  <si>
    <t>melissa.larsen@amazon.com</t>
  </si>
  <si>
    <t>+1-693-256-0898x4286</t>
  </si>
  <si>
    <t>125 Robinson Spurs Suite 175, Port Craigburgh, MS 55741</t>
  </si>
  <si>
    <t>Lindsey Cox</t>
  </si>
  <si>
    <t>lindsey.cox@tesla.com</t>
  </si>
  <si>
    <t>739.522.0933x8772</t>
  </si>
  <si>
    <t>USNS Mcgee, FPO AE 17053</t>
  </si>
  <si>
    <t>Lance Johnson</t>
  </si>
  <si>
    <t>lance.johnson@microsoft.com</t>
  </si>
  <si>
    <t>001-813-944-8548x658</t>
  </si>
  <si>
    <t>PSC 3583, Box 6220, APO AE 05504</t>
  </si>
  <si>
    <t>Alexis Jones</t>
  </si>
  <si>
    <t>alexis.jones@adobe.com</t>
  </si>
  <si>
    <t>705.454.9009x99546</t>
  </si>
  <si>
    <t>691 Reyes Drive Suite 458, North Rebecca, AL 32880</t>
  </si>
  <si>
    <t>Douglas Vance</t>
  </si>
  <si>
    <t>douglas.vance@ibm.com</t>
  </si>
  <si>
    <t>(041)932-4737x29796</t>
  </si>
  <si>
    <t>6342 Stephanie Forest, Mooretown, AZ 98072</t>
  </si>
  <si>
    <t>Paige Frank</t>
  </si>
  <si>
    <t>paige.frank@tesla.com</t>
  </si>
  <si>
    <t>973.345.3170</t>
  </si>
  <si>
    <t>884 Brooke Key Apt. 264, Peckfurt, WY 40143</t>
  </si>
  <si>
    <t>Elizabeth Lyons</t>
  </si>
  <si>
    <t>elizabeth.lyons@apple.com</t>
  </si>
  <si>
    <t>134 Hoover Villages Apt. 483, Petermouth, WA 91853</t>
  </si>
  <si>
    <t>Patty Ruiz</t>
  </si>
  <si>
    <t>patty.ruiz@tesla.com</t>
  </si>
  <si>
    <t>36680 Arellano Burgs, Wardside, NM 01965</t>
  </si>
  <si>
    <t>Brenda Wells</t>
  </si>
  <si>
    <t>brenda.wells@microsoft.com</t>
  </si>
  <si>
    <t>960 Jones Overpass Apt. 786, New Kristenport, TN 66335</t>
  </si>
  <si>
    <t>Nancy Mosley</t>
  </si>
  <si>
    <t>nancy.mosley@adobe.com</t>
  </si>
  <si>
    <t>405.776.1291x342</t>
  </si>
  <si>
    <t>1457 Burke Hollow, Williamfurt, NC 66712</t>
  </si>
  <si>
    <t>Carl Gross</t>
  </si>
  <si>
    <t>carl.gross@netflix.com</t>
  </si>
  <si>
    <t>+1-680-843-9701x6045</t>
  </si>
  <si>
    <t>34270 Mason Place, Youngland, SD 63928</t>
  </si>
  <si>
    <t>Dawn Lyons</t>
  </si>
  <si>
    <t>dawn.lyons@tesla.com</t>
  </si>
  <si>
    <t>454.077.1704x580</t>
  </si>
  <si>
    <t>679 Martin Curve Suite 105, Richardville, CA 36602</t>
  </si>
  <si>
    <t>Anthony Barrera</t>
  </si>
  <si>
    <t>anthony.barrera@facebook.com</t>
  </si>
  <si>
    <t>+1-949-680-2597x830</t>
  </si>
  <si>
    <t>75817 Price Cape, West Ericbury, OR 25755</t>
  </si>
  <si>
    <t>Derrick Miller</t>
  </si>
  <si>
    <t>derrick.miller@microsoft.com</t>
  </si>
  <si>
    <t>55124 Garrett Walk Apt. 447, Jonesstad, KY 99217</t>
  </si>
  <si>
    <t>Lauren Stone</t>
  </si>
  <si>
    <t>lauren.stone@microsoft.com</t>
  </si>
  <si>
    <t>001-809-311-6144x01516</t>
  </si>
  <si>
    <t>75490 Cody Stravenue Suite 710, Lake Markmouth, VA 40607</t>
  </si>
  <si>
    <t>Tim Mendez</t>
  </si>
  <si>
    <t>tim.mendez@adobe.com</t>
  </si>
  <si>
    <t>001-178-930-9839x1570</t>
  </si>
  <si>
    <t>5018 Robin Lights Suite 943, Dawnshire, OK 69686</t>
  </si>
  <si>
    <t>Christine Holloway</t>
  </si>
  <si>
    <t>christine.holloway@netflix.com</t>
  </si>
  <si>
    <t>001-641-970-9752x47146</t>
  </si>
  <si>
    <t>6607 Rhonda Junction Apt. 377, Wilkinsview, WY 93938</t>
  </si>
  <si>
    <t>Barbara Oliver</t>
  </si>
  <si>
    <t>barbara.oliver@google.com</t>
  </si>
  <si>
    <t>359.349.7878</t>
  </si>
  <si>
    <t>154 Thomas Shoal, Alexanderport, UT 20182</t>
  </si>
  <si>
    <t>John Wade</t>
  </si>
  <si>
    <t>john.wade@apple.com</t>
  </si>
  <si>
    <t>368-627-9317</t>
  </si>
  <si>
    <t>73924 Summers Route, Lake Mariamouth, TN 60298</t>
  </si>
  <si>
    <t>Tony May</t>
  </si>
  <si>
    <t>tony.may@apple.com</t>
  </si>
  <si>
    <t>001-999-300-8391x5171</t>
  </si>
  <si>
    <t>017 Coffey Grove Suite 734, East Trevor, OH 92010</t>
  </si>
  <si>
    <t>Ryan Newman</t>
  </si>
  <si>
    <t>ryan.newman@adobe.com</t>
  </si>
  <si>
    <t>+1-014-514-0845x591</t>
  </si>
  <si>
    <t>264 Cisneros Brooks Suite 483, Fosterland, WI 53820</t>
  </si>
  <si>
    <t>Emily Sims</t>
  </si>
  <si>
    <t>emily.sims@microsoft.com</t>
  </si>
  <si>
    <t>+1-572-773-1997x59529</t>
  </si>
  <si>
    <t>60834 Roy Estate Apt. 358, Gardnerland, AR 25936</t>
  </si>
  <si>
    <t>Robert Gutierrez</t>
  </si>
  <si>
    <t>robert.gutierrez@intel.com</t>
  </si>
  <si>
    <t>+1-902-362-5233x57715</t>
  </si>
  <si>
    <t>70229 Whitney Springs Suite 391, Jonathanburgh, MD 08887</t>
  </si>
  <si>
    <t>Kaylee Gross</t>
  </si>
  <si>
    <t>kaylee.gross@google.com</t>
  </si>
  <si>
    <t>001-500-138-6390x2435</t>
  </si>
  <si>
    <t>584 Hatfield Forks Apt. 194, Derrickview, MA 19133</t>
  </si>
  <si>
    <t>Tyler Long</t>
  </si>
  <si>
    <t>tyler.long@ibm.com</t>
  </si>
  <si>
    <t>940.877.4360x6632</t>
  </si>
  <si>
    <t>00715 Robert Pine, New Kristy, VT 07477</t>
  </si>
  <si>
    <t>Darlene Burns</t>
  </si>
  <si>
    <t>darlene.burns@apple.com</t>
  </si>
  <si>
    <t>001-651-355-8117</t>
  </si>
  <si>
    <t>549 Desiree Meadow Suite 798, South Nancy, IN 90777</t>
  </si>
  <si>
    <t>Jacob Woodward</t>
  </si>
  <si>
    <t>jacob.woodward@tesla.com</t>
  </si>
  <si>
    <t>(011)471-6435</t>
  </si>
  <si>
    <t>10688 Paul Tunnel, Jeremymouth, GA 63837</t>
  </si>
  <si>
    <t>Raymond Hanson</t>
  </si>
  <si>
    <t>raymond.hanson@netflix.com</t>
  </si>
  <si>
    <t>577.536.4490x6747</t>
  </si>
  <si>
    <t>9769 Wayne Key Suite 043, South Annhaven, OH 52872</t>
  </si>
  <si>
    <t>Joseph Good</t>
  </si>
  <si>
    <t>joseph.good@netflix.com</t>
  </si>
  <si>
    <t>896.325.2473x30903</t>
  </si>
  <si>
    <t>PSC 4776, Box 5270, APO AE 35580</t>
  </si>
  <si>
    <t>Roberto Smith</t>
  </si>
  <si>
    <t>roberto.smith@netflix.com</t>
  </si>
  <si>
    <t>296-536-0261x18616</t>
  </si>
  <si>
    <t>307 Rice Ranch Apt. 346, South William, SC 89012</t>
  </si>
  <si>
    <t>Brandy Lopez</t>
  </si>
  <si>
    <t>brandy.lopez@facebook.com</t>
  </si>
  <si>
    <t>+1-217-359-8929x1739</t>
  </si>
  <si>
    <t>699 Thomas Gateway, Port Tammyshire, IL 55520</t>
  </si>
  <si>
    <t>Benjamin Smith</t>
  </si>
  <si>
    <t>benjamin.smith@adobe.com</t>
  </si>
  <si>
    <t>177-226-9273x51225</t>
  </si>
  <si>
    <t>0967 Michael Light Apt. 876, Heatherborough, HI 07380</t>
  </si>
  <si>
    <t>Lawrence Phillips</t>
  </si>
  <si>
    <t>lawrence.phillips@tesla.com</t>
  </si>
  <si>
    <t>(883)986-2247x4095</t>
  </si>
  <si>
    <t>7650 Ortega Freeway, Wagnerport, TX 77976</t>
  </si>
  <si>
    <t>Richard Strickland</t>
  </si>
  <si>
    <t>richard.strickland@microsoft.com</t>
  </si>
  <si>
    <t>+1-022-842-0344x1579</t>
  </si>
  <si>
    <t>628 David Center Apt. 522, Elliottmouth, UT 62256</t>
  </si>
  <si>
    <t>Kristen Cameron</t>
  </si>
  <si>
    <t>kristen.cameron@amazon.com</t>
  </si>
  <si>
    <t>879-407-2293x57977</t>
  </si>
  <si>
    <t>81332 Jessica Gardens Suite 621, South Pamelaberg, IN 29722</t>
  </si>
  <si>
    <t>Sheila Haynes</t>
  </si>
  <si>
    <t>sheila.haynes@apple.com</t>
  </si>
  <si>
    <t>(738)268-9914</t>
  </si>
  <si>
    <t>118 Karen Walk Suite 404, Lake Seth, VA 15826</t>
  </si>
  <si>
    <t>Stephen Weber</t>
  </si>
  <si>
    <t>stephen.weber@facebook.com</t>
  </si>
  <si>
    <t>+1-620-214-9608x392</t>
  </si>
  <si>
    <t>753 Miller Expressway Suite 837, Rogersport, WA 10713</t>
  </si>
  <si>
    <t>Calvin Wallace</t>
  </si>
  <si>
    <t>calvin.wallace@intel.com</t>
  </si>
  <si>
    <t>(600)280-5329x800</t>
  </si>
  <si>
    <t>474 Miller Key, East Jenniferville, WV 30744</t>
  </si>
  <si>
    <t>Susan Thompson</t>
  </si>
  <si>
    <t>susan.thompson@tesla.com</t>
  </si>
  <si>
    <t>1497 Stacey Well, Greenmouth, VT 53903</t>
  </si>
  <si>
    <t>Rhonda Lee</t>
  </si>
  <si>
    <t>rhonda.lee@netflix.com</t>
  </si>
  <si>
    <t>+1-143-793-1070x34112</t>
  </si>
  <si>
    <t>22646 Graham Rest Apt. 327, Osborneland, SC 48626</t>
  </si>
  <si>
    <t>Bruce Harris</t>
  </si>
  <si>
    <t>bruce.harris@amazon.com</t>
  </si>
  <si>
    <t>826.698.2521x526</t>
  </si>
  <si>
    <t>74990 Cooper Oval, Thomasport, WY 73362</t>
  </si>
  <si>
    <t>Trevor Chen</t>
  </si>
  <si>
    <t>trevor.chen@microsoft.com</t>
  </si>
  <si>
    <t>001-233-892-6139x3425</t>
  </si>
  <si>
    <t>4158 Carol Run, Martinville, AL 92164</t>
  </si>
  <si>
    <t>Joshua Walters</t>
  </si>
  <si>
    <t>joshua.walters@ibm.com</t>
  </si>
  <si>
    <t>97667 Gregory Mount, Scottport, OH 43339</t>
  </si>
  <si>
    <t>Joshua Combs</t>
  </si>
  <si>
    <t>joshua.combs@google.com</t>
  </si>
  <si>
    <t>+1-997-308-2779x93529</t>
  </si>
  <si>
    <t>2893 Brianna Green, Port Rachael, MS 32312</t>
  </si>
  <si>
    <t>Sean Jordan</t>
  </si>
  <si>
    <t>sean.jordan@google.com</t>
  </si>
  <si>
    <t>(518)518-8645x7281</t>
  </si>
  <si>
    <t>USNS Wilson, FPO AE 24500</t>
  </si>
  <si>
    <t>nicole.smith@intel.com</t>
  </si>
  <si>
    <t>3886 Kaiser Plains, Ryanfurt, FL 86057</t>
  </si>
  <si>
    <t>James Anderson</t>
  </si>
  <si>
    <t>james.anderson@adobe.com</t>
  </si>
  <si>
    <t>1866 Michael Lakes, Port Jennifer, MN 16153</t>
  </si>
  <si>
    <t>Karen Lopez</t>
  </si>
  <si>
    <t>karen.lopez@apple.com</t>
  </si>
  <si>
    <t>(414)129-4109</t>
  </si>
  <si>
    <t>PSC 6209, Box 3157, APO AP 45249</t>
  </si>
  <si>
    <t>Loretta Wilson</t>
  </si>
  <si>
    <t>loretta.wilson@ibm.com</t>
  </si>
  <si>
    <t>039.084.9521</t>
  </si>
  <si>
    <t>6536 Ronald Mission, Smithchester, IL 48980</t>
  </si>
  <si>
    <t>Jennifer Levine</t>
  </si>
  <si>
    <t>jennifer.levine@netflix.com</t>
  </si>
  <si>
    <t>+1-379-927-3500x2849</t>
  </si>
  <si>
    <t>Unit 9466 Box 4746, DPO AA 85513</t>
  </si>
  <si>
    <t>Alexis Garrison</t>
  </si>
  <si>
    <t>alexis.garrison@tesla.com</t>
  </si>
  <si>
    <t>351.668.5966x96571</t>
  </si>
  <si>
    <t>6603 Gary Row, Danielbury, PA 34020</t>
  </si>
  <si>
    <t>Julie Dawson</t>
  </si>
  <si>
    <t>julie.dawson@google.com</t>
  </si>
  <si>
    <t>141-240-1329</t>
  </si>
  <si>
    <t>55411 Baker Lake Apt. 906, Erikstad, KY 73369</t>
  </si>
  <si>
    <t>James Daniels</t>
  </si>
  <si>
    <t>james.daniels@ibm.com</t>
  </si>
  <si>
    <t>053 Wendy Burgs, South Anthony, VA 88533</t>
  </si>
  <si>
    <t>April Flores</t>
  </si>
  <si>
    <t>april.flores@ibm.com</t>
  </si>
  <si>
    <t>928-284-4863x99923</t>
  </si>
  <si>
    <t>3581 James Loaf, Rodriguezfurt, TN 53364</t>
  </si>
  <si>
    <t>Cheryl Lowery</t>
  </si>
  <si>
    <t>cheryl.lowery@netflix.com</t>
  </si>
  <si>
    <t>001-698-462-1073x297</t>
  </si>
  <si>
    <t>2400 Brewer Green, South Lisaland, AL 98411</t>
  </si>
  <si>
    <t>Robert Andrews</t>
  </si>
  <si>
    <t>robert.andrews@tesla.com</t>
  </si>
  <si>
    <t>001-740-244-7645x691</t>
  </si>
  <si>
    <t>50715 Hill Ridge, North Christie, SC 17483</t>
  </si>
  <si>
    <t>Rebecca Hayes</t>
  </si>
  <si>
    <t>rebecca.hayes@microsoft.com</t>
  </si>
  <si>
    <t>494.130.1001x2073</t>
  </si>
  <si>
    <t>360 Fleming Garden Suite 833, North Dennis, PA 55435</t>
  </si>
  <si>
    <t>Samuel Tran</t>
  </si>
  <si>
    <t>samuel.tran@apple.com</t>
  </si>
  <si>
    <t>001-336-636-2190x062</t>
  </si>
  <si>
    <t>177 Vargas Centers Apt. 032, Lewisville, TX 85228</t>
  </si>
  <si>
    <t>Gilbert Castillo</t>
  </si>
  <si>
    <t>gilbert.castillo@intel.com</t>
  </si>
  <si>
    <t>879.695.0469x890</t>
  </si>
  <si>
    <t>844 Alicia Valley, Port Matthew, ID 72502</t>
  </si>
  <si>
    <t>Alyssa Christian</t>
  </si>
  <si>
    <t>alyssa.christian@apple.com</t>
  </si>
  <si>
    <t>(034)977-0383x72378</t>
  </si>
  <si>
    <t>280 Sanchez Roads Apt. 933, Lowetown, MS 53432</t>
  </si>
  <si>
    <t>Lauren Vargas</t>
  </si>
  <si>
    <t>lauren.vargas@apple.com</t>
  </si>
  <si>
    <t>(505)804-3859</t>
  </si>
  <si>
    <t>28233 Lara Courts Apt. 618, North Jerry, GA 07340</t>
  </si>
  <si>
    <t>Lynn Compton</t>
  </si>
  <si>
    <t>lynn.compton@facebook.com</t>
  </si>
  <si>
    <t>(541)274-7634</t>
  </si>
  <si>
    <t>08829 Valenzuela Haven, Brownland, OH 46609</t>
  </si>
  <si>
    <t>Carrie Kelly</t>
  </si>
  <si>
    <t>carrie.kelly@microsoft.com</t>
  </si>
  <si>
    <t>(318)991-1790x28142</t>
  </si>
  <si>
    <t>01618 Lauren Trafficway, South Alan, WA 81103</t>
  </si>
  <si>
    <t>Robin Nguyen MD</t>
  </si>
  <si>
    <t>robin.nguyen.md@amazon.com</t>
  </si>
  <si>
    <t>(921)445-3990</t>
  </si>
  <si>
    <t>03491 Duncan Shoal, West Samanthahaven, OR 97522</t>
  </si>
  <si>
    <t>Kurt Parrish</t>
  </si>
  <si>
    <t>kurt.parrish@amazon.com</t>
  </si>
  <si>
    <t>+1-463-466-9468x064</t>
  </si>
  <si>
    <t>Unit 4542 Box 8158, DPO AP 21765</t>
  </si>
  <si>
    <t>William Mays</t>
  </si>
  <si>
    <t>william.mays@adobe.com</t>
  </si>
  <si>
    <t>001-703-809-1461x3118</t>
  </si>
  <si>
    <t>5824 Griffin Forge, Michaelchester, IN 43547</t>
  </si>
  <si>
    <t>Christopher Washington</t>
  </si>
  <si>
    <t>christopher.washington@adobe.com</t>
  </si>
  <si>
    <t>(336)556-9344x608</t>
  </si>
  <si>
    <t>0234 Collins Grove, North Lisa, NH 63073</t>
  </si>
  <si>
    <t>Joseph Burgess</t>
  </si>
  <si>
    <t>joseph.burgess@ibm.com</t>
  </si>
  <si>
    <t>(582)108-7731</t>
  </si>
  <si>
    <t>PSC 0017, Box 8827, APO AP 25298</t>
  </si>
  <si>
    <t>Cheryl Porter</t>
  </si>
  <si>
    <t>cheryl.porter@google.com</t>
  </si>
  <si>
    <t>643-371-2242x084</t>
  </si>
  <si>
    <t>68664 Stephen Views, Kevinton, HI 34737</t>
  </si>
  <si>
    <t>Kim Crawford</t>
  </si>
  <si>
    <t>kim.crawford@ibm.com</t>
  </si>
  <si>
    <t>001-703-271-2396x306</t>
  </si>
  <si>
    <t>6423 White Junctions Apt. 749, South Amberport, MA 52824</t>
  </si>
  <si>
    <t>Diana Johnson</t>
  </si>
  <si>
    <t>diana.johnson@netflix.com</t>
  </si>
  <si>
    <t>461-554-3735x56708</t>
  </si>
  <si>
    <t>310 Harrell Groves Apt. 824, Stewarthaven, WI 62091</t>
  </si>
  <si>
    <t>Mr. Paul Le DDS</t>
  </si>
  <si>
    <t>mr..paul.le.dds@adobe.com</t>
  </si>
  <si>
    <t>724.265.9913x9430</t>
  </si>
  <si>
    <t>30040 Robert Coves, East Rachelburgh, CO 73984</t>
  </si>
  <si>
    <t>Christopher Warren</t>
  </si>
  <si>
    <t>christopher.warren@facebook.com</t>
  </si>
  <si>
    <t>829-357-1105</t>
  </si>
  <si>
    <t>4141 Kathryn Estates Apt. 280, West Michellemouth, DC 28065</t>
  </si>
  <si>
    <t>Jason Oliver</t>
  </si>
  <si>
    <t>jason.oliver@facebook.com</t>
  </si>
  <si>
    <t>146-240-7792x870</t>
  </si>
  <si>
    <t>293 Smith Keys, West John, CT 06866</t>
  </si>
  <si>
    <t>Jessica Larson</t>
  </si>
  <si>
    <t>jessica.larson@ibm.com</t>
  </si>
  <si>
    <t>001-115-208-9475</t>
  </si>
  <si>
    <t>49714 Heather Mill Apt. 307, Davidton, OH 25284</t>
  </si>
  <si>
    <t>Chase Schroeder</t>
  </si>
  <si>
    <t>chase.schroeder@netflix.com</t>
  </si>
  <si>
    <t>839.789.2835</t>
  </si>
  <si>
    <t>6359 Alvarado Hill, New Yvonne, MA 20030</t>
  </si>
  <si>
    <t>Stephanie Morales</t>
  </si>
  <si>
    <t>stephanie.morales@facebook.com</t>
  </si>
  <si>
    <t>001-151-092-7359x647</t>
  </si>
  <si>
    <t>98420 Timothy Station, Davidchester, ND 44588</t>
  </si>
  <si>
    <t>Joseph Sandoval</t>
  </si>
  <si>
    <t>joseph.sandoval@intel.com</t>
  </si>
  <si>
    <t>512 Julia Glen, Colinville, SD 30151</t>
  </si>
  <si>
    <t>Barbara Wilson</t>
  </si>
  <si>
    <t>barbara.wilson@microsoft.com</t>
  </si>
  <si>
    <t>(266)732-9838x70123</t>
  </si>
  <si>
    <t>77866 Austin Light Suite 403, Melaniehaven, PA 21549</t>
  </si>
  <si>
    <t>Jenny Harmon</t>
  </si>
  <si>
    <t>jenny.harmon@facebook.com</t>
  </si>
  <si>
    <t>001-928-426-5889x3398</t>
  </si>
  <si>
    <t>650 Linda Motorway, Port Johnland, MA 04387</t>
  </si>
  <si>
    <t>Mrs. Dana Davis</t>
  </si>
  <si>
    <t>mrs..dana.davis@ibm.com</t>
  </si>
  <si>
    <t>001-343-808-5553x1421</t>
  </si>
  <si>
    <t>580 Swanson Grove Suite 141, Danieltown, OR 86785</t>
  </si>
  <si>
    <t>Roger Kelly</t>
  </si>
  <si>
    <t>roger.kelly@ibm.com</t>
  </si>
  <si>
    <t>+1-394-543-8447x0936</t>
  </si>
  <si>
    <t>421 Jeremy Isle Suite 613, South Kimburgh, ME 44562</t>
  </si>
  <si>
    <t>Derek Dickson</t>
  </si>
  <si>
    <t>derek.dickson@tesla.com</t>
  </si>
  <si>
    <t>(361)338-3538</t>
  </si>
  <si>
    <t>40598 Katrina Garden, Cynthiaview, HI 63657</t>
  </si>
  <si>
    <t>Jessica Davis</t>
  </si>
  <si>
    <t>jessica.davis@netflix.com</t>
  </si>
  <si>
    <t>653-447-2778x09997</t>
  </si>
  <si>
    <t>36874 Phillips Forges Apt. 478, East Danielfurt, HI 60986</t>
  </si>
  <si>
    <t>William Romero</t>
  </si>
  <si>
    <t>william.romero@tesla.com</t>
  </si>
  <si>
    <t>655.152.0653</t>
  </si>
  <si>
    <t>20829 Brent Skyway Apt. 486, Port Davidland, WY 74731</t>
  </si>
  <si>
    <t>Tracy Hayden</t>
  </si>
  <si>
    <t>tracy.hayden@facebook.com</t>
  </si>
  <si>
    <t>405-129-7328x67117</t>
  </si>
  <si>
    <t>8343 Richard Bridge, East Nicholas, MS 35644</t>
  </si>
  <si>
    <t>Vincent Flores</t>
  </si>
  <si>
    <t>vincent.flores@microsoft.com</t>
  </si>
  <si>
    <t>746-683-9107x97257</t>
  </si>
  <si>
    <t>8621 Sharon Ford, West Tylerton, MA 24733</t>
  </si>
  <si>
    <t>Bethany Contreras</t>
  </si>
  <si>
    <t>bethany.contreras@apple.com</t>
  </si>
  <si>
    <t>760-776-0779</t>
  </si>
  <si>
    <t>420 Corey Point Apt. 844, Roseton, ND 18927</t>
  </si>
  <si>
    <t>Danielle Cervantes</t>
  </si>
  <si>
    <t>danielle.cervantes@adobe.com</t>
  </si>
  <si>
    <t>987.811.1192x15072</t>
  </si>
  <si>
    <t>5465 Jackson Neck Apt. 871, New Brian, MD 29992</t>
  </si>
  <si>
    <t>Lauren Lopez</t>
  </si>
  <si>
    <t>lauren.lopez@apple.com</t>
  </si>
  <si>
    <t>488 Kathleen Square, Arthurburgh, HI 93563</t>
  </si>
  <si>
    <t>Lucas Evans</t>
  </si>
  <si>
    <t>lucas.evans@adobe.com</t>
  </si>
  <si>
    <t>USNS Clark, FPO AP 55225</t>
  </si>
  <si>
    <t>Cody Miller</t>
  </si>
  <si>
    <t>cody.miller@apple.com</t>
  </si>
  <si>
    <t>307 Joseph River, Lake Tonyaton, KY 36615</t>
  </si>
  <si>
    <t>Robert Martin</t>
  </si>
  <si>
    <t>robert.martin@apple.com</t>
  </si>
  <si>
    <t>785.568.7208x99427</t>
  </si>
  <si>
    <t>42729 Jon Trail, Lake Keith, FL 08284</t>
  </si>
  <si>
    <t>Katherine Ferguson</t>
  </si>
  <si>
    <t>katherine.ferguson@adobe.com</t>
  </si>
  <si>
    <t>606.775.6151x11184</t>
  </si>
  <si>
    <t>23274 Peter Pines Suite 879, Mollyport, MA 88779</t>
  </si>
  <si>
    <t>Jennifer Smith</t>
  </si>
  <si>
    <t>jennifer.smith@adobe.com</t>
  </si>
  <si>
    <t>(935)603-7116x407</t>
  </si>
  <si>
    <t>1017 Gina Meadows, Lake Vickie, MO 38020</t>
  </si>
  <si>
    <t>Jessica Williams</t>
  </si>
  <si>
    <t>jessica.williams@intel.com</t>
  </si>
  <si>
    <t>782.507.0353x8456</t>
  </si>
  <si>
    <t>163 Walton Ramp, Darlenefort, AR 72162</t>
  </si>
  <si>
    <t>Brandy Fowler</t>
  </si>
  <si>
    <t>brandy.fowler@apple.com</t>
  </si>
  <si>
    <t>605.823.7903</t>
  </si>
  <si>
    <t>PSC 1409, Box 3796, APO AP 68574</t>
  </si>
  <si>
    <t>Gloria Hicks</t>
  </si>
  <si>
    <t>gloria.hicks@intel.com</t>
  </si>
  <si>
    <t>(361)400-3442x327</t>
  </si>
  <si>
    <t>7755 Edward Pass, Port Jonathan, OR 94147</t>
  </si>
  <si>
    <t>Jennifer Mclean</t>
  </si>
  <si>
    <t>jennifer.mclean@facebook.com</t>
  </si>
  <si>
    <t>88902 Hill Burg Apt. 912, Davisport, OR 56232</t>
  </si>
  <si>
    <t>Victoria Collins</t>
  </si>
  <si>
    <t>victoria.collins@apple.com</t>
  </si>
  <si>
    <t>001-591-760-9581x6231</t>
  </si>
  <si>
    <t>PSC 6722, Box 3967, APO AP 71966</t>
  </si>
  <si>
    <t>Suzanne Anderson</t>
  </si>
  <si>
    <t>suzanne.anderson@tesla.com</t>
  </si>
  <si>
    <t>353-390-9892</t>
  </si>
  <si>
    <t>3657 Cantrell Islands, Amychester, NY 01085</t>
  </si>
  <si>
    <t>Tammy Williams</t>
  </si>
  <si>
    <t>tammy.williams@tesla.com</t>
  </si>
  <si>
    <t>326.103.6011x90158</t>
  </si>
  <si>
    <t>88277 George Ville Apt. 483, Spencertown, AZ 63606</t>
  </si>
  <si>
    <t>Alicia Cox</t>
  </si>
  <si>
    <t>alicia.cox@ibm.com</t>
  </si>
  <si>
    <t>6889 Osborne Parkway, South Kylefort, OH 37646</t>
  </si>
  <si>
    <t>sean.walters@amazon.com</t>
  </si>
  <si>
    <t>624.037.6893</t>
  </si>
  <si>
    <t>35613 David Ways Apt. 192, Port Terry, GA 53290</t>
  </si>
  <si>
    <t>Ronald Montgomery</t>
  </si>
  <si>
    <t>ronald.montgomery@microsoft.com</t>
  </si>
  <si>
    <t>226-669-8170x30290</t>
  </si>
  <si>
    <t>3447 Alexander Knoll, Carlashire, MN 36082</t>
  </si>
  <si>
    <t>michael.brown@amazon.com</t>
  </si>
  <si>
    <t>001-757-296-9749x0358</t>
  </si>
  <si>
    <t>7238 Dana Stream, Robertoview, ID 14383</t>
  </si>
  <si>
    <t>Jacob Martin</t>
  </si>
  <si>
    <t>jacob.martin@netflix.com</t>
  </si>
  <si>
    <t>571-899-1406</t>
  </si>
  <si>
    <t>0836 Ramirez Canyon Suite 930, Sarahmouth, IN 48441</t>
  </si>
  <si>
    <t>Tony Sims</t>
  </si>
  <si>
    <t>tony.sims@google.com</t>
  </si>
  <si>
    <t>990.282.0572</t>
  </si>
  <si>
    <t>688 Hughes Passage, East Antonioside, AK 68535</t>
  </si>
  <si>
    <t>Eugene Maynard MD</t>
  </si>
  <si>
    <t>eugene.maynard.md@microsoft.com</t>
  </si>
  <si>
    <t>001-315-401-0027x0431</t>
  </si>
  <si>
    <t>360 Jennifer Isle Suite 852, Ronaldborough, LA 67108</t>
  </si>
  <si>
    <t>Jeremy Morris</t>
  </si>
  <si>
    <t>jeremy.morris@netflix.com</t>
  </si>
  <si>
    <t>783.602.0620</t>
  </si>
  <si>
    <t>1502 Brandt Drives Apt. 357, Heidimouth, MO 11059</t>
  </si>
  <si>
    <t>Joyce Walsh</t>
  </si>
  <si>
    <t>joyce.walsh@netflix.com</t>
  </si>
  <si>
    <t>+1-633-860-9539x4149</t>
  </si>
  <si>
    <t>324 Hamilton Gardens, Carolynmouth, IA 51008</t>
  </si>
  <si>
    <t>Lindsey Lopez</t>
  </si>
  <si>
    <t>lindsey.lopez@ibm.com</t>
  </si>
  <si>
    <t>(941)111-2780x1099</t>
  </si>
  <si>
    <t>773 Ryan Landing Suite 213, Jonesstad, NY 03663</t>
  </si>
  <si>
    <t>Madison Cooke</t>
  </si>
  <si>
    <t>madison.cooke@microsoft.com</t>
  </si>
  <si>
    <t>(643)619-0919x0510</t>
  </si>
  <si>
    <t>268 Christopher Estate Apt. 931, Port Dianastad, SC 14192</t>
  </si>
  <si>
    <t>Mark Wilson</t>
  </si>
  <si>
    <t>mark.wilson@amazon.com</t>
  </si>
  <si>
    <t>001-050-299-8888x8189</t>
  </si>
  <si>
    <t>101 Rodriguez Shore Apt. 609, Port Louisville, NH 10192</t>
  </si>
  <si>
    <t>Roger Singleton</t>
  </si>
  <si>
    <t>roger.singleton@intel.com</t>
  </si>
  <si>
    <t>244.501.9007x4642</t>
  </si>
  <si>
    <t>23996 Kimberly Square, Lake Donaldton, MT 60872</t>
  </si>
  <si>
    <t>Mariah Caldwell</t>
  </si>
  <si>
    <t>mariah.caldwell@amazon.com</t>
  </si>
  <si>
    <t>+1-364-015-1984x0691</t>
  </si>
  <si>
    <t>3823 David Isle, New Matthew, PA 91727</t>
  </si>
  <si>
    <t>Robert Dixon</t>
  </si>
  <si>
    <t>robert.dixon@tesla.com</t>
  </si>
  <si>
    <t>001-632-313-6390x355</t>
  </si>
  <si>
    <t>Unit 1464 Box 8297, DPO AP 45354</t>
  </si>
  <si>
    <t>Christopher Gomez</t>
  </si>
  <si>
    <t>christopher.gomez@adobe.com</t>
  </si>
  <si>
    <t>+1-658-050-9599x1928</t>
  </si>
  <si>
    <t>0970 Thomas Lake, Port Markbury, ND 70097</t>
  </si>
  <si>
    <t>Victoria Taylor</t>
  </si>
  <si>
    <t>victoria.taylor@adobe.com</t>
  </si>
  <si>
    <t>(272)131-8632x972</t>
  </si>
  <si>
    <t>537 Scott Track Suite 567, Freemanburgh, VA 48195</t>
  </si>
  <si>
    <t>Christine Gutierrez</t>
  </si>
  <si>
    <t>christine.gutierrez@apple.com</t>
  </si>
  <si>
    <t>84101 Paul Union, Owensville, TN 77405</t>
  </si>
  <si>
    <t>Rose Ortiz</t>
  </si>
  <si>
    <t>rose.ortiz@apple.com</t>
  </si>
  <si>
    <t>+1-536-705-8671x16435</t>
  </si>
  <si>
    <t>811 Smith Spurs, Christinafort, NH 41077</t>
  </si>
  <si>
    <t>Vanessa Morales</t>
  </si>
  <si>
    <t>vanessa.morales@google.com</t>
  </si>
  <si>
    <t>4879 Thomas Dam, West Samuelview, OK 77306</t>
  </si>
  <si>
    <t>Sophia Bauer</t>
  </si>
  <si>
    <t>sophia.bauer@intel.com</t>
  </si>
  <si>
    <t>(355)131-8974x60565</t>
  </si>
  <si>
    <t>3828 Billy Lights Suite 512, North Jessicatown, VT 93939</t>
  </si>
  <si>
    <t>Brian Wells</t>
  </si>
  <si>
    <t>brian.wells@ibm.com</t>
  </si>
  <si>
    <t>(571)881-6573x27655</t>
  </si>
  <si>
    <t>062 Hernandez Neck Apt. 939, Crystalborough, TN 98749</t>
  </si>
  <si>
    <t>daniel.anderson@amazon.com</t>
  </si>
  <si>
    <t>+1-051-927-2128x912</t>
  </si>
  <si>
    <t>6516 Travis Park Apt. 723, Derektown, AR 76433</t>
  </si>
  <si>
    <t>Jaime Thomas</t>
  </si>
  <si>
    <t>jaime.thomas@netflix.com</t>
  </si>
  <si>
    <t>252.411.6517x9114</t>
  </si>
  <si>
    <t>686 Rodriguez Wall, Port Kylehaven, MS 14252</t>
  </si>
  <si>
    <t>Ashley Morgan</t>
  </si>
  <si>
    <t>ashley.morgan@netflix.com</t>
  </si>
  <si>
    <t>Unit 4108 Box 5654, DPO AE 79005</t>
  </si>
  <si>
    <t>Nathaniel Brooks</t>
  </si>
  <si>
    <t>nathaniel.brooks@facebook.com</t>
  </si>
  <si>
    <t>(190)373-3864x719</t>
  </si>
  <si>
    <t>72962 Simmons Cliffs, Brockton, VT 29121</t>
  </si>
  <si>
    <t>Alicia Sellers</t>
  </si>
  <si>
    <t>alicia.sellers@adobe.com</t>
  </si>
  <si>
    <t>001-217-453-4872x7037</t>
  </si>
  <si>
    <t>USS Davis, FPO AP 00778</t>
  </si>
  <si>
    <t>Teresa Pham</t>
  </si>
  <si>
    <t>teresa.pham@apple.com</t>
  </si>
  <si>
    <t>996.618.6540</t>
  </si>
  <si>
    <t>6201 Quinn Hills Apt. 958, West Emily, VA 19470</t>
  </si>
  <si>
    <t>Daniel Martinez</t>
  </si>
  <si>
    <t>daniel.martinez@microsoft.com</t>
  </si>
  <si>
    <t>(397)848-4384</t>
  </si>
  <si>
    <t>Unit 1820 Box 0598, DPO AE 03190</t>
  </si>
  <si>
    <t>Sara Graham</t>
  </si>
  <si>
    <t>sara.graham@ibm.com</t>
  </si>
  <si>
    <t>(065)798-6876x74220</t>
  </si>
  <si>
    <t>889 Smith Walks Suite 936, New Stephanie, MA 81258</t>
  </si>
  <si>
    <t>Stefanie Boone</t>
  </si>
  <si>
    <t>stefanie.boone@tesla.com</t>
  </si>
  <si>
    <t>(965)191-7126</t>
  </si>
  <si>
    <t>828 Caitlin Ports, Carlostown, IL 45771</t>
  </si>
  <si>
    <t>Carl Dunn</t>
  </si>
  <si>
    <t>carl.dunn@facebook.com</t>
  </si>
  <si>
    <t>001-915-060-6479x4923</t>
  </si>
  <si>
    <t>866 Zamora Streets, Millermouth, NC 66990</t>
  </si>
  <si>
    <t>Jennifer Hernandez</t>
  </si>
  <si>
    <t>jennifer.hernandez@ibm.com</t>
  </si>
  <si>
    <t>+1-742-713-8616x428</t>
  </si>
  <si>
    <t>97890 Emily Pike Suite 034, North Jesus, SC 40297</t>
  </si>
  <si>
    <t>Christine Avila</t>
  </si>
  <si>
    <t>christine.avila@intel.com</t>
  </si>
  <si>
    <t>+1-713-619-4681x165</t>
  </si>
  <si>
    <t>998 Brittany Tunnel, Brittanytown, MT 23722</t>
  </si>
  <si>
    <t>Kenneth Price</t>
  </si>
  <si>
    <t>kenneth.price@facebook.com</t>
  </si>
  <si>
    <t>466-372-8670x81868</t>
  </si>
  <si>
    <t>16027 Jonathan Port, Prattville, DE 62470</t>
  </si>
  <si>
    <t>Gabriel Carter</t>
  </si>
  <si>
    <t>gabriel.carter@microsoft.com</t>
  </si>
  <si>
    <t>(945)042-3185x697</t>
  </si>
  <si>
    <t>2415 Taylor Green, Georgestad, NE 38139</t>
  </si>
  <si>
    <t>Stacy Carson</t>
  </si>
  <si>
    <t>stacy.carson@intel.com</t>
  </si>
  <si>
    <t>(805)052-6380</t>
  </si>
  <si>
    <t>25213 Matthew Estate Apt. 839, Flemingstad, FL 86672</t>
  </si>
  <si>
    <t>Tracy Davis</t>
  </si>
  <si>
    <t>tracy.davis@netflix.com</t>
  </si>
  <si>
    <t>(652)205-7024x101</t>
  </si>
  <si>
    <t>0708 Calderon Tunnel, East Michael, MA 52410</t>
  </si>
  <si>
    <t>Lisa Chavez</t>
  </si>
  <si>
    <t>lisa.chavez@facebook.com</t>
  </si>
  <si>
    <t>607.157.9352x2124</t>
  </si>
  <si>
    <t>753 Rosales Plain Apt. 055, West Jennifer, VT 40844</t>
  </si>
  <si>
    <t>Sean Stewart</t>
  </si>
  <si>
    <t>sean.stewart@intel.com</t>
  </si>
  <si>
    <t>+1-413-618-3778x529</t>
  </si>
  <si>
    <t>08883 Tonya Grove Apt. 049, Jonesburgh, NY 92549</t>
  </si>
  <si>
    <t>Paula Frost</t>
  </si>
  <si>
    <t>paula.frost@tesla.com</t>
  </si>
  <si>
    <t>092.029.8741</t>
  </si>
  <si>
    <t>USNS Williams, FPO AP 40145</t>
  </si>
  <si>
    <t>Mark Guzman</t>
  </si>
  <si>
    <t>mark.guzman@intel.com</t>
  </si>
  <si>
    <t>(252)891-0411x10860</t>
  </si>
  <si>
    <t>Unit 4146 Box 1700, DPO AP 75697</t>
  </si>
  <si>
    <t>William Mcgrath</t>
  </si>
  <si>
    <t>william.mcgrath@amazon.com</t>
  </si>
  <si>
    <t>001-533-858-9275x911</t>
  </si>
  <si>
    <t>9964 Michael Points Apt. 601, North Alexandriabury, OK 11692</t>
  </si>
  <si>
    <t>Danny Mcmillan</t>
  </si>
  <si>
    <t>danny.mcmillan@ibm.com</t>
  </si>
  <si>
    <t>025.116.1219x63619</t>
  </si>
  <si>
    <t>3481 Elizabeth Loaf Suite 474, Jacquelinetown, NJ 76536</t>
  </si>
  <si>
    <t>James Bailey</t>
  </si>
  <si>
    <t>james.bailey@ibm.com</t>
  </si>
  <si>
    <t>(298)729-9522x7108</t>
  </si>
  <si>
    <t>USNS Bradley, FPO AE 05182</t>
  </si>
  <si>
    <t>Andrew Houston</t>
  </si>
  <si>
    <t>andrew.houston@facebook.com</t>
  </si>
  <si>
    <t>001-869-576-7616x2076</t>
  </si>
  <si>
    <t>4915 Darrell Circle Apt. 976, Ochoaland, AR 39598</t>
  </si>
  <si>
    <t>Haley Cooper</t>
  </si>
  <si>
    <t>haley.cooper@microsoft.com</t>
  </si>
  <si>
    <t>491.672.7668x762</t>
  </si>
  <si>
    <t>2730 Troy Trace, Joseland, CO 87332</t>
  </si>
  <si>
    <t>James Ortiz</t>
  </si>
  <si>
    <t>james.ortiz@adobe.com</t>
  </si>
  <si>
    <t>001-899-991-6172x2997</t>
  </si>
  <si>
    <t>5163 Kevin Forges, Brandontown, LA 75222</t>
  </si>
  <si>
    <t>Benjamin Hawkins</t>
  </si>
  <si>
    <t>benjamin.hawkins@ibm.com</t>
  </si>
  <si>
    <t>+1-400-458-6532x5218</t>
  </si>
  <si>
    <t>139 Hudson Road, Prestonport, OK 61278</t>
  </si>
  <si>
    <t>Thomas Gillespie</t>
  </si>
  <si>
    <t>thomas.gillespie@microsoft.com</t>
  </si>
  <si>
    <t>001-232-769-7755x731</t>
  </si>
  <si>
    <t>7655 Jill Groves, East Elizabethfurt, NM 37997</t>
  </si>
  <si>
    <t>David Fernandez</t>
  </si>
  <si>
    <t>david.fernandez@intel.com</t>
  </si>
  <si>
    <t>3563 Carter Grove Apt. 711, Smithborough, VA 61697</t>
  </si>
  <si>
    <t>Elizabeth King</t>
  </si>
  <si>
    <t>elizabeth.king@ibm.com</t>
  </si>
  <si>
    <t>074 Michael Parkway, New Davidview, SC 02197</t>
  </si>
  <si>
    <t>Janet Allison</t>
  </si>
  <si>
    <t>janet.allison@tesla.com</t>
  </si>
  <si>
    <t>584 James Plaza Suite 138, West Saratown, KS 16590</t>
  </si>
  <si>
    <t>Lisa Ferguson</t>
  </si>
  <si>
    <t>lisa.ferguson@tesla.com</t>
  </si>
  <si>
    <t>9930 Glenda Meadows Apt. 347, Nataliefurt, RI 31472</t>
  </si>
  <si>
    <t>Daniel Dean</t>
  </si>
  <si>
    <t>daniel.dean@google.com</t>
  </si>
  <si>
    <t>861.213.2762</t>
  </si>
  <si>
    <t>025 Lucas Lodge, Micheleshire, AR 37171</t>
  </si>
  <si>
    <t>Jamie Murphy</t>
  </si>
  <si>
    <t>jamie.murphy@apple.com</t>
  </si>
  <si>
    <t>113 Burns Union Apt. 404, East Timothychester, OH 40360</t>
  </si>
  <si>
    <t>Christopher Simmons</t>
  </si>
  <si>
    <t>christopher.simmons@apple.com</t>
  </si>
  <si>
    <t>517.616.1606</t>
  </si>
  <si>
    <t>606 Gonzales Harbors Apt. 742, Donnaport, PA 23047</t>
  </si>
  <si>
    <t>Kimberly Bailey</t>
  </si>
  <si>
    <t>kimberly.bailey@facebook.com</t>
  </si>
  <si>
    <t>643-881-7566x816</t>
  </si>
  <si>
    <t>7390 Robert Plains Apt. 022, North Russellbury, WV 18522</t>
  </si>
  <si>
    <t>James Ellis</t>
  </si>
  <si>
    <t>james.ellis@ibm.com</t>
  </si>
  <si>
    <t>916.105.1120x042</t>
  </si>
  <si>
    <t>440 Jessica Locks Suite 768, North Bradleyberg, NJ 55247</t>
  </si>
  <si>
    <t>Amanda Brown</t>
  </si>
  <si>
    <t>amanda.brown@intel.com</t>
  </si>
  <si>
    <t>+1-941-860-2119x2465</t>
  </si>
  <si>
    <t>981 Werner River Suite 722, Tuckermouth, ID 54714</t>
  </si>
  <si>
    <t>Anna Andrade</t>
  </si>
  <si>
    <t>anna.andrade@adobe.com</t>
  </si>
  <si>
    <t>+1-600-682-9040x144</t>
  </si>
  <si>
    <t>806 Carrie Route Suite 998, Mcculloughmouth, CA 03050</t>
  </si>
  <si>
    <t>Mark Stevenson</t>
  </si>
  <si>
    <t>mark.stevenson@google.com</t>
  </si>
  <si>
    <t>(906)666-8362x676</t>
  </si>
  <si>
    <t>608 Hill Wall Apt. 354, Carolshire, MN 50013</t>
  </si>
  <si>
    <t>Jessica Moore</t>
  </si>
  <si>
    <t>jessica.moore@microsoft.com</t>
  </si>
  <si>
    <t>(456)013-6858</t>
  </si>
  <si>
    <t>4761 Schaefer Plain Apt. 429, Toddhaven, CO 76185</t>
  </si>
  <si>
    <t>Roy Gutierrez</t>
  </si>
  <si>
    <t>roy.gutierrez@adobe.com</t>
  </si>
  <si>
    <t>4152 Khan Overpass Apt. 056, Port Ericaton, NY 72912</t>
  </si>
  <si>
    <t>Samantha Underwood</t>
  </si>
  <si>
    <t>samantha.underwood@netflix.com</t>
  </si>
  <si>
    <t>474-145-2354</t>
  </si>
  <si>
    <t>508 Clark View Suite 722, Lake Courtneyshire, GA 67268</t>
  </si>
  <si>
    <t>Stacie Gonzales</t>
  </si>
  <si>
    <t>stacie.gonzales@adobe.com</t>
  </si>
  <si>
    <t>829-984-0329x5362</t>
  </si>
  <si>
    <t>PSC 0142, Box 3157, APO AA 98256</t>
  </si>
  <si>
    <t>Jeremy Howard</t>
  </si>
  <si>
    <t>jeremy.howard@microsoft.com</t>
  </si>
  <si>
    <t>001-320-024-1443x0203</t>
  </si>
  <si>
    <t>7875 Levy Ferry Apt. 235, New Peter, TN 50758</t>
  </si>
  <si>
    <t>Nicholas Coleman</t>
  </si>
  <si>
    <t>nicholas.coleman@netflix.com</t>
  </si>
  <si>
    <t>(903)386-4268</t>
  </si>
  <si>
    <t>9034 John Ports, East Desiree, NJ 32743</t>
  </si>
  <si>
    <t>Stephanie Velasquez</t>
  </si>
  <si>
    <t>stephanie.velasquez@facebook.com</t>
  </si>
  <si>
    <t>001-436-730-7101x1177</t>
  </si>
  <si>
    <t>765 Carlos Rapids Suite 114, North Matthewchester, HI 79303</t>
  </si>
  <si>
    <t>Harold Dickson</t>
  </si>
  <si>
    <t>harold.dickson@apple.com</t>
  </si>
  <si>
    <t>(238)228-9042</t>
  </si>
  <si>
    <t>724 Gomez Drives Suite 056, Tylerchester, TX 48035</t>
  </si>
  <si>
    <t>Raymond Rowland</t>
  </si>
  <si>
    <t>raymond.rowland@facebook.com</t>
  </si>
  <si>
    <t>(887)648-2421x599</t>
  </si>
  <si>
    <t>9449 Wright Station Apt. 616, New Debraport, ME 11984</t>
  </si>
  <si>
    <t>John Nelson</t>
  </si>
  <si>
    <t>john.nelson@facebook.com</t>
  </si>
  <si>
    <t>924-325-2581</t>
  </si>
  <si>
    <t>61737 Hancock Knoll Apt. 044, East Jennifer, MD 69951</t>
  </si>
  <si>
    <t>Russell Clarke</t>
  </si>
  <si>
    <t>russell.clarke@ibm.com</t>
  </si>
  <si>
    <t>(769)460-5668x786</t>
  </si>
  <si>
    <t>7731 Brian Drive Apt. 693, East Cheryl, ND 74964</t>
  </si>
  <si>
    <t>Charles Mills</t>
  </si>
  <si>
    <t>charles.mills@ibm.com</t>
  </si>
  <si>
    <t>4553 Charles Ramp Suite 754, Devinberg, TX 95282</t>
  </si>
  <si>
    <t>Deanna Wright</t>
  </si>
  <si>
    <t>deanna.wright@microsoft.com</t>
  </si>
  <si>
    <t>135-454-9125x984</t>
  </si>
  <si>
    <t>6427 Charles Pines, Levyville, CT 87055</t>
  </si>
  <si>
    <t>Mary Walters</t>
  </si>
  <si>
    <t>mary.walters@tesla.com</t>
  </si>
  <si>
    <t>001-565-932-8564x994</t>
  </si>
  <si>
    <t>1836 Smith Rue Apt. 798, Lake Peggy, AL 87805</t>
  </si>
  <si>
    <t>Alexis Faulkner</t>
  </si>
  <si>
    <t>alexis.faulkner@netflix.com</t>
  </si>
  <si>
    <t>001-625-224-0661</t>
  </si>
  <si>
    <t>24007 Mary Mills Apt. 340, North Andrew, WA 86899</t>
  </si>
  <si>
    <t>Michael Larson</t>
  </si>
  <si>
    <t>michael.larson@microsoft.com</t>
  </si>
  <si>
    <t>042 Cervantes Run Apt. 908, Devinland, MA 90441</t>
  </si>
  <si>
    <t>Timothy Thompson</t>
  </si>
  <si>
    <t>timothy.thompson@apple.com</t>
  </si>
  <si>
    <t>081.196.5585x3504</t>
  </si>
  <si>
    <t>30930 Kayla Dale, Paulchester, LA 41366</t>
  </si>
  <si>
    <t>Mitchell Odom</t>
  </si>
  <si>
    <t>mitchell.odom@ibm.com</t>
  </si>
  <si>
    <t>987-383-8849</t>
  </si>
  <si>
    <t>0244 White Junction, South Sharonview, DC 79155</t>
  </si>
  <si>
    <t>Mark Cantrell</t>
  </si>
  <si>
    <t>mark.cantrell@apple.com</t>
  </si>
  <si>
    <t>195.739.2722</t>
  </si>
  <si>
    <t>79799 Serrano Way Suite 486, South Jeffreyfurt, LA 07447</t>
  </si>
  <si>
    <t>Randy Carter</t>
  </si>
  <si>
    <t>randy.carter@microsoft.com</t>
  </si>
  <si>
    <t>(569)955-1064x032</t>
  </si>
  <si>
    <t>33263 Mary Summit, North Jonathan, OK 65160</t>
  </si>
  <si>
    <t>David Oliver</t>
  </si>
  <si>
    <t>david.oliver@google.com</t>
  </si>
  <si>
    <t>4743 Anderson Parks Suite 719, East Arthurmouth, CA 57919</t>
  </si>
  <si>
    <t>Michele Phillips</t>
  </si>
  <si>
    <t>michele.phillips@netflix.com</t>
  </si>
  <si>
    <t>3053 Rachel Expressway Apt. 559, South David, KS 85808</t>
  </si>
  <si>
    <t>Cathy Wilkins</t>
  </si>
  <si>
    <t>cathy.wilkins@microsoft.com</t>
  </si>
  <si>
    <t>270.360.4629</t>
  </si>
  <si>
    <t>02738 Williams Square, West Barbarafort, AR 59558</t>
  </si>
  <si>
    <t>Pedro Hays</t>
  </si>
  <si>
    <t>pedro.hays@netflix.com</t>
  </si>
  <si>
    <t>363-470-5163</t>
  </si>
  <si>
    <t>9034 Parks Port Apt. 976, East Lisa, KY 98503</t>
  </si>
  <si>
    <t>Molly Ryan</t>
  </si>
  <si>
    <t>molly.ryan@netflix.com</t>
  </si>
  <si>
    <t>919-595-4949x2602</t>
  </si>
  <si>
    <t>634 Johnson Mission Suite 424, Port John, DE 75335</t>
  </si>
  <si>
    <t>Kari Ford</t>
  </si>
  <si>
    <t>kari.ford@ibm.com</t>
  </si>
  <si>
    <t>001-561-625-5298x737</t>
  </si>
  <si>
    <t>15055 Rose Shores, East Josephville, CA 67340</t>
  </si>
  <si>
    <t>Douglas Guerra</t>
  </si>
  <si>
    <t>douglas.guerra@google.com</t>
  </si>
  <si>
    <t>(658)752-5392</t>
  </si>
  <si>
    <t>7561 Carson Spurs, Port Conniefurt, RI 09233</t>
  </si>
  <si>
    <t>Nicholas Powers DVM</t>
  </si>
  <si>
    <t>nicholas.powers.dvm@ibm.com</t>
  </si>
  <si>
    <t>412.136.0495x6091</t>
  </si>
  <si>
    <t>053 Jason Lodge Apt. 180, Burkeville, AK 70403</t>
  </si>
  <si>
    <t>Michael Duke</t>
  </si>
  <si>
    <t>michael.duke@intel.com</t>
  </si>
  <si>
    <t>(875)409-7538</t>
  </si>
  <si>
    <t>661 Jenkins Common Apt. 696, West Manuel, WI 23890</t>
  </si>
  <si>
    <t>Julia Chavez</t>
  </si>
  <si>
    <t>julia.chavez@adobe.com</t>
  </si>
  <si>
    <t>128-458-3813</t>
  </si>
  <si>
    <t>6279 Christopher Turnpike Suite 667, South Bradport, DE 79549</t>
  </si>
  <si>
    <t>Jessica Anderson</t>
  </si>
  <si>
    <t>jessica.anderson@microsoft.com</t>
  </si>
  <si>
    <t>886.456.8698x89862</t>
  </si>
  <si>
    <t>6901 Christy Fords Suite 192, Hernandezburgh, NM 59060</t>
  </si>
  <si>
    <t>Donald Boyer</t>
  </si>
  <si>
    <t>donald.boyer@facebook.com</t>
  </si>
  <si>
    <t>(980)831-2056x667</t>
  </si>
  <si>
    <t>39440 Matthew Burg Apt. 706, Andrewstad, ME 04512</t>
  </si>
  <si>
    <t>Tammy Fuller</t>
  </si>
  <si>
    <t>tammy.fuller@facebook.com</t>
  </si>
  <si>
    <t>225-660-9064</t>
  </si>
  <si>
    <t>080 Strickland Mountains, Lake Matthew, AZ 81950</t>
  </si>
  <si>
    <t>Patrick Nelson</t>
  </si>
  <si>
    <t>patrick.nelson@google.com</t>
  </si>
  <si>
    <t>593-266-7077x37461</t>
  </si>
  <si>
    <t>4053 Davis Fork Apt. 467, East Janefort, IA 75758</t>
  </si>
  <si>
    <t>lisa.ferguson@intel.com</t>
  </si>
  <si>
    <t>541.087.9728</t>
  </si>
  <si>
    <t>337 Keith Parkways, Lake Wendy, LA 02411</t>
  </si>
  <si>
    <t>Steve Hutchinson</t>
  </si>
  <si>
    <t>steve.hutchinson@google.com</t>
  </si>
  <si>
    <t>719.085.7591x8294</t>
  </si>
  <si>
    <t>0712 Arnold Motorway Suite 793, Jaredland, NC 39456</t>
  </si>
  <si>
    <t>Tracey Martin</t>
  </si>
  <si>
    <t>tracey.martin@facebook.com</t>
  </si>
  <si>
    <t>+1-069-686-5587x03267</t>
  </si>
  <si>
    <t>7268 Bridges Overpass, Port Emily, ID 97996</t>
  </si>
  <si>
    <t>Crystal Moss</t>
  </si>
  <si>
    <t>crystal.moss@ibm.com</t>
  </si>
  <si>
    <t>(555)082-1275</t>
  </si>
  <si>
    <t>772 Freeman Summit, West Alex, WA 87477</t>
  </si>
  <si>
    <t>Kayla Rogers</t>
  </si>
  <si>
    <t>kayla.rogers@intel.com</t>
  </si>
  <si>
    <t>510-326-0098</t>
  </si>
  <si>
    <t>48222 Jared Neck, Port Mark, ND 21779</t>
  </si>
  <si>
    <t>Anne Stephenson</t>
  </si>
  <si>
    <t>anne.stephenson@ibm.com</t>
  </si>
  <si>
    <t>952.190.2272</t>
  </si>
  <si>
    <t>812 Garner Loaf, North Carolyn, KS 58088</t>
  </si>
  <si>
    <t>Ashley Wagner</t>
  </si>
  <si>
    <t>ashley.wagner@facebook.com</t>
  </si>
  <si>
    <t>001-278-325-0054</t>
  </si>
  <si>
    <t>113 Mcintyre Pine Apt. 712, Lake Justin, CO 17338</t>
  </si>
  <si>
    <t>Matthew Torres</t>
  </si>
  <si>
    <t>matthew.torres@microsoft.com</t>
  </si>
  <si>
    <t>(867)074-1906x07328</t>
  </si>
  <si>
    <t>6642 Owens Estate, Johnstonstad, NM 93053</t>
  </si>
  <si>
    <t>Ryan Randolph</t>
  </si>
  <si>
    <t>ryan.randolph@ibm.com</t>
  </si>
  <si>
    <t>283-924-2546x24771</t>
  </si>
  <si>
    <t>490 John Pass Suite 564, Johnsonberg, NE 92044</t>
  </si>
  <si>
    <t>Theresa Pham</t>
  </si>
  <si>
    <t>theresa.pham@microsoft.com</t>
  </si>
  <si>
    <t>319.421.6693</t>
  </si>
  <si>
    <t>927 Underwood Oval Suite 551, Debbieborough, WI 73444</t>
  </si>
  <si>
    <t>Kenneth Gilbert</t>
  </si>
  <si>
    <t>kenneth.gilbert@netflix.com</t>
  </si>
  <si>
    <t>(410)841-2243x0145</t>
  </si>
  <si>
    <t>188 Perez Corner, Beasleyshire, DE 56907</t>
  </si>
  <si>
    <t>Andrea Campbell</t>
  </si>
  <si>
    <t>andrea.campbell@amazon.com</t>
  </si>
  <si>
    <t>255-326-6536</t>
  </si>
  <si>
    <t>662 Woods Fall, New Scott, IA 77094</t>
  </si>
  <si>
    <t>Christine Clark</t>
  </si>
  <si>
    <t>christine.clark@facebook.com</t>
  </si>
  <si>
    <t>339.827.5059x6318</t>
  </si>
  <si>
    <t>10174 Rhonda Pine Suite 050, West Stephen, OH 88106</t>
  </si>
  <si>
    <t>Julia Dyer</t>
  </si>
  <si>
    <t>julia.dyer@ibm.com</t>
  </si>
  <si>
    <t>(447)718-8997x66511</t>
  </si>
  <si>
    <t>033 Todd Port Apt. 717, New Melissa, AZ 49046</t>
  </si>
  <si>
    <t>Andrew Johnson</t>
  </si>
  <si>
    <t>andrew.johnson@tesla.com</t>
  </si>
  <si>
    <t>448-372-5011x774</t>
  </si>
  <si>
    <t>2922 Wade Loop Apt. 560, East Shannonmouth, OK 59092</t>
  </si>
  <si>
    <t>Stephen Griffin</t>
  </si>
  <si>
    <t>stephen.griffin@netflix.com</t>
  </si>
  <si>
    <t>(286)633-0347x607</t>
  </si>
  <si>
    <t>267 Goodman Course, Lisachester, AL 74864</t>
  </si>
  <si>
    <t>Jessica Williamson</t>
  </si>
  <si>
    <t>jessica.williamson@facebook.com</t>
  </si>
  <si>
    <t>001-781-936-0616x3217</t>
  </si>
  <si>
    <t>047 Kelsey Viaduct, Jackieberg, WA 76049</t>
  </si>
  <si>
    <t>Mark Russell</t>
  </si>
  <si>
    <t>mark.russell@apple.com</t>
  </si>
  <si>
    <t>+1-608-028-0355x467</t>
  </si>
  <si>
    <t>Unit 7288 Box 0334, DPO AA 23702</t>
  </si>
  <si>
    <t>Joshua Cook</t>
  </si>
  <si>
    <t>joshua.cook@facebook.com</t>
  </si>
  <si>
    <t>09097 Keith Well Suite 363, Smithberg, ID 53175</t>
  </si>
  <si>
    <t>Tammy Johnson</t>
  </si>
  <si>
    <t>tammy.johnson@tesla.com</t>
  </si>
  <si>
    <t>9751 Laurie Greens, Rodriguezfurt, TN 90378</t>
  </si>
  <si>
    <t>Amanda Gonzalez</t>
  </si>
  <si>
    <t>amanda.gonzalez@netflix.com</t>
  </si>
  <si>
    <t>001-815-662-5242x0139</t>
  </si>
  <si>
    <t>USNV Sweeney, FPO AE 23106</t>
  </si>
  <si>
    <t>Jessica Kelly</t>
  </si>
  <si>
    <t>jessica.kelly@facebook.com</t>
  </si>
  <si>
    <t>(819)005-9754x30099</t>
  </si>
  <si>
    <t>76299 Sean Extension Suite 434, South Sonyafurt, MT 78769</t>
  </si>
  <si>
    <t>daniel.johnson@ibm.com</t>
  </si>
  <si>
    <t>001-528-669-5466x68869</t>
  </si>
  <si>
    <t>45185 Wilson Lakes Suite 514, South Patricia, ND 40635</t>
  </si>
  <si>
    <t>Jon Summers</t>
  </si>
  <si>
    <t>jon.summers@intel.com</t>
  </si>
  <si>
    <t>(767)123-4723x4105</t>
  </si>
  <si>
    <t>1018 Lawrence Route, Lake Kevinborough, AZ 63408</t>
  </si>
  <si>
    <t>Jessica Mckinney</t>
  </si>
  <si>
    <t>jessica.mckinney@intel.com</t>
  </si>
  <si>
    <t>(085)717-5460x1903</t>
  </si>
  <si>
    <t>649 Kent Stream Suite 206, Morenohaven, NC 94023</t>
  </si>
  <si>
    <t>Christopher Horn</t>
  </si>
  <si>
    <t>christopher.horn@adobe.com</t>
  </si>
  <si>
    <t>001-088-792-3213</t>
  </si>
  <si>
    <t>844 Joseph Stravenue Suite 011, Port Tonyastad, MN 88491</t>
  </si>
  <si>
    <t>Thomas Rios</t>
  </si>
  <si>
    <t>thomas.rios@intel.com</t>
  </si>
  <si>
    <t>132.270.2363</t>
  </si>
  <si>
    <t>5453 Cameron Dale Apt. 381, Sarahville, KS 55597</t>
  </si>
  <si>
    <t>Steven Chang</t>
  </si>
  <si>
    <t>steven.chang@facebook.com</t>
  </si>
  <si>
    <t>001-148-783-9268x059</t>
  </si>
  <si>
    <t>430 Lisa Tunnel, Martinezville, UT 30025</t>
  </si>
  <si>
    <t>Elizabeth Downs</t>
  </si>
  <si>
    <t>elizabeth.downs@facebook.com</t>
  </si>
  <si>
    <t>+1-597-564-2820x2650</t>
  </si>
  <si>
    <t>784 Moore Keys Suite 353, Garrettland, OK 49200</t>
  </si>
  <si>
    <t>Lori Sawyer</t>
  </si>
  <si>
    <t>lori.sawyer@amazon.com</t>
  </si>
  <si>
    <t>062.625.9636</t>
  </si>
  <si>
    <t>56731 Katherine Walk Apt. 917, West Lindsay, OH 77423</t>
  </si>
  <si>
    <t>Nathan Barajas</t>
  </si>
  <si>
    <t>nathan.barajas@intel.com</t>
  </si>
  <si>
    <t>(246)586-4660x9970</t>
  </si>
  <si>
    <t>6505 Friedman Locks Apt. 006, New Shawn, RI 79944</t>
  </si>
  <si>
    <t>Terry Garner</t>
  </si>
  <si>
    <t>terry.garner@amazon.com</t>
  </si>
  <si>
    <t>(283)303-6914x541</t>
  </si>
  <si>
    <t>940 Derrick Cape Suite 424, Smithside, WY 19726</t>
  </si>
  <si>
    <t>Erin Bates</t>
  </si>
  <si>
    <t>erin.bates@microsoft.com</t>
  </si>
  <si>
    <t>612 Rose Corner Apt. 444, Lopezmouth, DE 91988</t>
  </si>
  <si>
    <t>Charles Whitaker</t>
  </si>
  <si>
    <t>charles.whitaker@intel.com</t>
  </si>
  <si>
    <t>941.084.3176</t>
  </si>
  <si>
    <t>229 James Skyway, New Cheryl, UT 81531</t>
  </si>
  <si>
    <t>Chad Gilbert Jr.</t>
  </si>
  <si>
    <t>chad.gilbert.jr.@netflix.com</t>
  </si>
  <si>
    <t>659-667-8463x053</t>
  </si>
  <si>
    <t>08843 Horton Locks Apt. 216, Lowemouth, MA 78002</t>
  </si>
  <si>
    <t>April Brown</t>
  </si>
  <si>
    <t>april.brown@ibm.com</t>
  </si>
  <si>
    <t>001-108-859-0242x057</t>
  </si>
  <si>
    <t>97053 Davies Orchard Apt. 737, Melindabury, MN 03078</t>
  </si>
  <si>
    <t>Margaret Brown</t>
  </si>
  <si>
    <t>margaret.brown@google.com</t>
  </si>
  <si>
    <t>370-323-4559x181</t>
  </si>
  <si>
    <t>40039 Robert Ports, Williamshire, KS 64887</t>
  </si>
  <si>
    <t>Andrew Hernandez</t>
  </si>
  <si>
    <t>andrew.hernandez@microsoft.com</t>
  </si>
  <si>
    <t>485.131.8158x252</t>
  </si>
  <si>
    <t>98986 John Terrace Suite 202, Ryanton, NY 65935</t>
  </si>
  <si>
    <t>Annette Singleton</t>
  </si>
  <si>
    <t>annette.singleton@netflix.com</t>
  </si>
  <si>
    <t>266.768.9927x652</t>
  </si>
  <si>
    <t>11421 Thornton Shores Apt. 197, West Joshua, KS 11959</t>
  </si>
  <si>
    <t>Mr. Victor Barker</t>
  </si>
  <si>
    <t>mr..victor.barker@tesla.com</t>
  </si>
  <si>
    <t>054.127.0057</t>
  </si>
  <si>
    <t>933 Andrea Lakes, Carolfurt, NE 70153</t>
  </si>
  <si>
    <t>Craig Hoffman</t>
  </si>
  <si>
    <t>craig.hoffman@microsoft.com</t>
  </si>
  <si>
    <t>(712)118-0164</t>
  </si>
  <si>
    <t>88758 Matthew Streets Apt. 578, Lorimouth, FL 44266</t>
  </si>
  <si>
    <t>Christopher Powers</t>
  </si>
  <si>
    <t>christopher.powers@google.com</t>
  </si>
  <si>
    <t>788.277.3462</t>
  </si>
  <si>
    <t>PSC 4111, Box 1621, APO AE 19383</t>
  </si>
  <si>
    <t>Steven Richard</t>
  </si>
  <si>
    <t>steven.richard@ibm.com</t>
  </si>
  <si>
    <t>112.736.3731</t>
  </si>
  <si>
    <t>623 Toni Brook, Amberside, ME 92018</t>
  </si>
  <si>
    <t>Beth Stein</t>
  </si>
  <si>
    <t>beth.stein@apple.com</t>
  </si>
  <si>
    <t>(919)029-0148x678</t>
  </si>
  <si>
    <t>597 Rosario Mission, New Anna, MA 66890</t>
  </si>
  <si>
    <t>William Frazier</t>
  </si>
  <si>
    <t>william.frazier@amazon.com</t>
  </si>
  <si>
    <t>+1-763-372-1495x1570</t>
  </si>
  <si>
    <t>437 Odonnell Brook, Lindseyville, SC 33670</t>
  </si>
  <si>
    <t>Jennifer Herrera</t>
  </si>
  <si>
    <t>jennifer.herrera@facebook.com</t>
  </si>
  <si>
    <t>+1-961-707-7570x1693</t>
  </si>
  <si>
    <t>Unit 7686 Box 8039, DPO AP 82766</t>
  </si>
  <si>
    <t>Lisa Walter</t>
  </si>
  <si>
    <t>lisa.walter@netflix.com</t>
  </si>
  <si>
    <t>001-322-453-7018</t>
  </si>
  <si>
    <t>Unit 6017 Box 2140, DPO AE 17613</t>
  </si>
  <si>
    <t>Lauren Wilson</t>
  </si>
  <si>
    <t>lauren.wilson@microsoft.com</t>
  </si>
  <si>
    <t>001-570-637-8093x42678</t>
  </si>
  <si>
    <t>677 Dennis Junctions Apt. 754, Marshton, ID 34283</t>
  </si>
  <si>
    <t>Sherry Silva</t>
  </si>
  <si>
    <t>sherry.silva@intel.com</t>
  </si>
  <si>
    <t>(885)261-2166x3699</t>
  </si>
  <si>
    <t>635 Joseph Port, Jessicaborough, ID 34326</t>
  </si>
  <si>
    <t>Beth Schultz</t>
  </si>
  <si>
    <t>beth.schultz@microsoft.com</t>
  </si>
  <si>
    <t>001-433-555-8050x51258</t>
  </si>
  <si>
    <t>6864 Bonilla Mountain Apt. 073, Charlesville, UT 82483</t>
  </si>
  <si>
    <t>Linda White</t>
  </si>
  <si>
    <t>linda.white@microsoft.com</t>
  </si>
  <si>
    <t>417-872-7227</t>
  </si>
  <si>
    <t>01094 Ibarra Brooks Suite 644, South Christopher, NH 96360</t>
  </si>
  <si>
    <t>Elizabeth Lang DDS</t>
  </si>
  <si>
    <t>elizabeth.lang.dds@adobe.com</t>
  </si>
  <si>
    <t>902-416-6478x171</t>
  </si>
  <si>
    <t>48443 Shields Expressway, Davidfurt, AL 59601</t>
  </si>
  <si>
    <t>Scott Lee</t>
  </si>
  <si>
    <t>scott.lee@google.com</t>
  </si>
  <si>
    <t>001-166-977-5963x2823</t>
  </si>
  <si>
    <t>794 Dean Courts, New Jonathan, MT 59618</t>
  </si>
  <si>
    <t>Andrea Bolton</t>
  </si>
  <si>
    <t>andrea.bolton@microsoft.com</t>
  </si>
  <si>
    <t>+1-838-011-4399x4975</t>
  </si>
  <si>
    <t>8746 Ward Stream, West Jessicamouth, DC 53118</t>
  </si>
  <si>
    <t>Jonathan Miller</t>
  </si>
  <si>
    <t>jonathan.miller@intel.com</t>
  </si>
  <si>
    <t>(293)779-4568x768</t>
  </si>
  <si>
    <t>596 Perry Valley, Mejiamouth, UT 55487</t>
  </si>
  <si>
    <t>Mark Buck</t>
  </si>
  <si>
    <t>mark.buck@amazon.com</t>
  </si>
  <si>
    <t>(644)913-1962</t>
  </si>
  <si>
    <t>78046 Amanda Knolls Suite 182, North Michaelton, NY 88167</t>
  </si>
  <si>
    <t>Sharon Barrera</t>
  </si>
  <si>
    <t>sharon.barrera@microsoft.com</t>
  </si>
  <si>
    <t>001-411-071-7115x52538</t>
  </si>
  <si>
    <t>3232 Arthur River Suite 359, Lake Stephaniefort, MT 70212</t>
  </si>
  <si>
    <t>Victoria Rodriguez</t>
  </si>
  <si>
    <t>victoria.rodriguez@facebook.com</t>
  </si>
  <si>
    <t>525.005.7787x1227</t>
  </si>
  <si>
    <t>255 Jenna Mews Apt. 358, Lake Josephton, TN 25948</t>
  </si>
  <si>
    <t>Brian Kane</t>
  </si>
  <si>
    <t>brian.kane@ibm.com</t>
  </si>
  <si>
    <t>328-250-5114</t>
  </si>
  <si>
    <t>1701 Joseph Rapids Apt. 994, Caseyport, GA 52252</t>
  </si>
  <si>
    <t>Amy Carr</t>
  </si>
  <si>
    <t>amy.carr@amazon.com</t>
  </si>
  <si>
    <t>738-063-1087x5158</t>
  </si>
  <si>
    <t>71633 Jackson Port, Barnesfort, WA 21455</t>
  </si>
  <si>
    <t>Rebecca Webb DVM</t>
  </si>
  <si>
    <t>rebecca.webb.dvm@microsoft.com</t>
  </si>
  <si>
    <t>841 Rebecca Pine, Bryantborough, KS 60082</t>
  </si>
  <si>
    <t>Justin Graves</t>
  </si>
  <si>
    <t>justin.graves@microsoft.com</t>
  </si>
  <si>
    <t>205.490.8314x231</t>
  </si>
  <si>
    <t>924 Cooper Port Apt. 247, Lopezshire, OK 44324</t>
  </si>
  <si>
    <t>Timothy Castillo</t>
  </si>
  <si>
    <t>timothy.castillo@ibm.com</t>
  </si>
  <si>
    <t>64704 Sharon Flat, Suzannemouth, HI 30628</t>
  </si>
  <si>
    <t>Julia Alexander</t>
  </si>
  <si>
    <t>julia.alexander@apple.com</t>
  </si>
  <si>
    <t>266-355-6891x9575</t>
  </si>
  <si>
    <t>12267 Henderson Circles, West Angelaview, AR 08307</t>
  </si>
  <si>
    <t>Kevin Johnson</t>
  </si>
  <si>
    <t>kevin.johnson@intel.com</t>
  </si>
  <si>
    <t>856.113.4119</t>
  </si>
  <si>
    <t>541 Michael Rest, Sandovalfurt, CO 48387</t>
  </si>
  <si>
    <t>Theresa Yates</t>
  </si>
  <si>
    <t>theresa.yates@adobe.com</t>
  </si>
  <si>
    <t>663-524-2471</t>
  </si>
  <si>
    <t>170 Schmidt Square Suite 679, Costaview, AL 03105</t>
  </si>
  <si>
    <t>Richard Jones</t>
  </si>
  <si>
    <t>richard.jones@ibm.com</t>
  </si>
  <si>
    <t>171.129.9355x1879</t>
  </si>
  <si>
    <t>9136 Allison Ramp Apt. 749, West Jessicaton, WV 65889</t>
  </si>
  <si>
    <t>Dean Strickland</t>
  </si>
  <si>
    <t>dean.strickland@google.com</t>
  </si>
  <si>
    <t>(889)175-6519x0000</t>
  </si>
  <si>
    <t>7422 Kelly Square Suite 033, Tonyaburgh, SC 62755</t>
  </si>
  <si>
    <t>Carla Barry</t>
  </si>
  <si>
    <t>carla.barry@microsoft.com</t>
  </si>
  <si>
    <t>986.262.8983</t>
  </si>
  <si>
    <t>275 Sarah Way, Port Markland, MS 05770</t>
  </si>
  <si>
    <t>Melissa Beard</t>
  </si>
  <si>
    <t>melissa.beard@microsoft.com</t>
  </si>
  <si>
    <t>10035 Catherine Views, West Emily, AK 92682</t>
  </si>
  <si>
    <t>Melanie Johnson</t>
  </si>
  <si>
    <t>melanie.johnson@netflix.com</t>
  </si>
  <si>
    <t>374-943-4051x738</t>
  </si>
  <si>
    <t>654 Brandy Lights Suite 266, North Daniel, WV 88391</t>
  </si>
  <si>
    <t>Rebecca Chang</t>
  </si>
  <si>
    <t>rebecca.chang@facebook.com</t>
  </si>
  <si>
    <t>(731)933-4427x3308</t>
  </si>
  <si>
    <t>USNS Callahan, FPO AA 31277</t>
  </si>
  <si>
    <t>Susan Walker</t>
  </si>
  <si>
    <t>susan.walker@google.com</t>
  </si>
  <si>
    <t>(341)174-0259x1081</t>
  </si>
  <si>
    <t>4078 Diaz Radial, Kimberlyborough, ID 68179</t>
  </si>
  <si>
    <t>Sandra Clark</t>
  </si>
  <si>
    <t>sandra.clark@netflix.com</t>
  </si>
  <si>
    <t>+1-489-276-0280x95322</t>
  </si>
  <si>
    <t>7161 Nancy Dale Suite 080, South Trevor, TN 62096</t>
  </si>
  <si>
    <t>Jessica Combs</t>
  </si>
  <si>
    <t>jessica.combs@apple.com</t>
  </si>
  <si>
    <t>0262 Hess Hollow Apt. 734, North Brian, VA 89988</t>
  </si>
  <si>
    <t>Christine Perez</t>
  </si>
  <si>
    <t>christine.perez@netflix.com</t>
  </si>
  <si>
    <t>043.266.2738x2031</t>
  </si>
  <si>
    <t>PSC 3379, Box 2201, APO AP 94377</t>
  </si>
  <si>
    <t>Tina Powell</t>
  </si>
  <si>
    <t>tina.powell@facebook.com</t>
  </si>
  <si>
    <t>(989)654-0435</t>
  </si>
  <si>
    <t>152 Thompson Well Apt. 298, Benjaminton, VT 48998</t>
  </si>
  <si>
    <t>Anthony Bush</t>
  </si>
  <si>
    <t>anthony.bush@tesla.com</t>
  </si>
  <si>
    <t>(413)479-3834x75332</t>
  </si>
  <si>
    <t>4656 Crystal Hill Apt. 793, Sullivanberg, SD 94115</t>
  </si>
  <si>
    <t>Craig Miller</t>
  </si>
  <si>
    <t>craig.miller@apple.com</t>
  </si>
  <si>
    <t>PSC 7186, Box 4259, APO AA 24647</t>
  </si>
  <si>
    <t>Michelle Crawford</t>
  </si>
  <si>
    <t>michelle.crawford@microsoft.com</t>
  </si>
  <si>
    <t>562.817.9947</t>
  </si>
  <si>
    <t>Unit 4281 Box 2107, DPO AP 23832</t>
  </si>
  <si>
    <t>Theodore Flores</t>
  </si>
  <si>
    <t>theodore.flores@apple.com</t>
  </si>
  <si>
    <t>(873)644-6707</t>
  </si>
  <si>
    <t>8276 Nicholas Stream, East Matthew, FL 63474</t>
  </si>
  <si>
    <t>Alex Aguilar</t>
  </si>
  <si>
    <t>alex.aguilar@amazon.com</t>
  </si>
  <si>
    <t>45111 Allen Forks Suite 184, Malonemouth, NV 98445</t>
  </si>
  <si>
    <t>Diana Hamilton</t>
  </si>
  <si>
    <t>diana.hamilton@amazon.com</t>
  </si>
  <si>
    <t>714.547.3575x74339</t>
  </si>
  <si>
    <t>USCGC Cook, FPO AP 97126</t>
  </si>
  <si>
    <t>Sonya Morrison</t>
  </si>
  <si>
    <t>sonya.morrison@intel.com</t>
  </si>
  <si>
    <t>001-396-407-1214x0254</t>
  </si>
  <si>
    <t>081 Phillips Run, Taylorfort, LA 35270</t>
  </si>
  <si>
    <t>Jose Lara</t>
  </si>
  <si>
    <t>jose.lara@google.com</t>
  </si>
  <si>
    <t>001-173-721-0953x47569</t>
  </si>
  <si>
    <t>8527 Elliott Run Suite 404, Leeshire, KY 19783</t>
  </si>
  <si>
    <t>Shelby Thompson</t>
  </si>
  <si>
    <t>shelby.thompson@microsoft.com</t>
  </si>
  <si>
    <t>149-219-4058x77569</t>
  </si>
  <si>
    <t>1754 Bernard Mountain, Munozbury, PA 25421</t>
  </si>
  <si>
    <t>Dr. Allison White MD</t>
  </si>
  <si>
    <t>dr..allison.white.md@microsoft.com</t>
  </si>
  <si>
    <t>001-612-730-5572x4974</t>
  </si>
  <si>
    <t>18649 Jennifer Lock, Lake Nicholastown, IL 24602</t>
  </si>
  <si>
    <t>David Berry</t>
  </si>
  <si>
    <t>david.berry@amazon.com</t>
  </si>
  <si>
    <t>(077)535-5038x3724</t>
  </si>
  <si>
    <t>5962 Wu Loaf, West Justinburgh, CA 36762</t>
  </si>
  <si>
    <t>Michelle Payne</t>
  </si>
  <si>
    <t>michelle.payne@intel.com</t>
  </si>
  <si>
    <t>(913)899-8759x42116</t>
  </si>
  <si>
    <t>666 Julia Manor, West Dawn, NV 28198</t>
  </si>
  <si>
    <t>Sally Perry</t>
  </si>
  <si>
    <t>sally.perry@google.com</t>
  </si>
  <si>
    <t>984.672.4723x69689</t>
  </si>
  <si>
    <t>731 Jennifer Mission Suite 542, Josephshire, NY 65231</t>
  </si>
  <si>
    <t>Matthew Jacobson</t>
  </si>
  <si>
    <t>matthew.jacobson@netflix.com</t>
  </si>
  <si>
    <t>102 Denise Expressway Apt. 393, South Amy, VA 67203</t>
  </si>
  <si>
    <t>Lisa Stone</t>
  </si>
  <si>
    <t>lisa.stone@adobe.com</t>
  </si>
  <si>
    <t>(808)137-1289</t>
  </si>
  <si>
    <t>64572 Gary Extensions, Port Annestad, WI 66606</t>
  </si>
  <si>
    <t>Victor Bell</t>
  </si>
  <si>
    <t>victor.bell@ibm.com</t>
  </si>
  <si>
    <t>121-849-5831</t>
  </si>
  <si>
    <t>PSC 7775, Box 4593, APO AP 33234</t>
  </si>
  <si>
    <t>Nicole Dunn</t>
  </si>
  <si>
    <t>nicole.dunn@netflix.com</t>
  </si>
  <si>
    <t>647-279-4621x1194</t>
  </si>
  <si>
    <t>516 Kelly Oval Suite 793, Christophermouth, IN 48705</t>
  </si>
  <si>
    <t>Jamie Esparza</t>
  </si>
  <si>
    <t>jamie.esparza@microsoft.com</t>
  </si>
  <si>
    <t>156.321.4283</t>
  </si>
  <si>
    <t>746 Chavez Crescent, Johnsonport, ND 61291</t>
  </si>
  <si>
    <t>Joseph Duncan</t>
  </si>
  <si>
    <t>joseph.duncan@adobe.com</t>
  </si>
  <si>
    <t>001-676-422-7877x042</t>
  </si>
  <si>
    <t>1373 Christina Orchard Suite 514, New Kathleen, NJ 67122</t>
  </si>
  <si>
    <t>Tommy Travis</t>
  </si>
  <si>
    <t>tommy.travis@amazon.com</t>
  </si>
  <si>
    <t>942-291-8938</t>
  </si>
  <si>
    <t>33402 White Mills, Lake Alyssaburgh, CO 53771</t>
  </si>
  <si>
    <t>Julie Hardy</t>
  </si>
  <si>
    <t>julie.hardy@microsoft.com</t>
  </si>
  <si>
    <t>001-635-988-5157</t>
  </si>
  <si>
    <t>69564 Susan Inlet Apt. 136, Carolineview, FL 88636</t>
  </si>
  <si>
    <t>Eric Blankenship</t>
  </si>
  <si>
    <t>eric.blankenship@ibm.com</t>
  </si>
  <si>
    <t>001-746-826-1144x47478</t>
  </si>
  <si>
    <t>126 Parker Drives, South Jenny, DC 50061</t>
  </si>
  <si>
    <t>Jennifer Diaz</t>
  </si>
  <si>
    <t>jennifer.diaz@facebook.com</t>
  </si>
  <si>
    <t>08386 Graham Mountains Suite 415, Estradamouth, AK 25321</t>
  </si>
  <si>
    <t>Danny Morgan</t>
  </si>
  <si>
    <t>danny.morgan@amazon.com</t>
  </si>
  <si>
    <t>+1-206-370-3009x530</t>
  </si>
  <si>
    <t>1415 Rasmussen Plaza Apt. 366, South Lawrencestad, WA 80129</t>
  </si>
  <si>
    <t>Joseph Hart</t>
  </si>
  <si>
    <t>joseph.hart@adobe.com</t>
  </si>
  <si>
    <t>+1-886-683-7036x684</t>
  </si>
  <si>
    <t>30372 Torres Stream Suite 277, Port Kathleenton, NV 86889</t>
  </si>
  <si>
    <t>Heather Romero</t>
  </si>
  <si>
    <t>heather.romero@amazon.com</t>
  </si>
  <si>
    <t>(888)372-8335</t>
  </si>
  <si>
    <t>730 Johnson Tunnel, West Amanda, DC 38363</t>
  </si>
  <si>
    <t>Jeffrey Kent</t>
  </si>
  <si>
    <t>jeffrey.kent@intel.com</t>
  </si>
  <si>
    <t>275 House Tunnel, New Nicoleberg, IL 98600</t>
  </si>
  <si>
    <t>Heather Haney</t>
  </si>
  <si>
    <t>heather.haney@apple.com</t>
  </si>
  <si>
    <t>777-770-4994</t>
  </si>
  <si>
    <t>PSC 0663, Box 4633, APO AE 36677</t>
  </si>
  <si>
    <t>jennifer.smith@ibm.com</t>
  </si>
  <si>
    <t>846-417-7470x57493</t>
  </si>
  <si>
    <t>USCGC Sampson, FPO AA 67654</t>
  </si>
  <si>
    <t>Darlene Ortiz</t>
  </si>
  <si>
    <t>darlene.ortiz@apple.com</t>
  </si>
  <si>
    <t>(550)298-1096x95132</t>
  </si>
  <si>
    <t>16688 Coffey Corner Apt. 545, Donnastad, RI 79160</t>
  </si>
  <si>
    <t>Brianna Mitchell</t>
  </si>
  <si>
    <t>brianna.mitchell@amazon.com</t>
  </si>
  <si>
    <t>282.720.2286</t>
  </si>
  <si>
    <t>78689 Williams Knoll, Chavezland, NY 45953</t>
  </si>
  <si>
    <t>David Marshall</t>
  </si>
  <si>
    <t>david.marshall@amazon.com</t>
  </si>
  <si>
    <t>760.653.9589</t>
  </si>
  <si>
    <t>PSC 0450, Box 8326, APO AA 32166</t>
  </si>
  <si>
    <t>jessica.williams@adobe.com</t>
  </si>
  <si>
    <t>001-854-481-0226x552</t>
  </si>
  <si>
    <t>201 Richard Way, New Susan, FL 42032</t>
  </si>
  <si>
    <t>Mark Ramos</t>
  </si>
  <si>
    <t>mark.ramos@tesla.com</t>
  </si>
  <si>
    <t>(884)229-1487</t>
  </si>
  <si>
    <t>0298 Dennis Parkway, Port Richardbury, NY 74496</t>
  </si>
  <si>
    <t>Stacy Gonzalez</t>
  </si>
  <si>
    <t>stacy.gonzalez@facebook.com</t>
  </si>
  <si>
    <t>677-310-1211x469</t>
  </si>
  <si>
    <t>5011 Miller Green, Port Williamtown, WV 34728</t>
  </si>
  <si>
    <t>Jill Jones</t>
  </si>
  <si>
    <t>jill.jones@ibm.com</t>
  </si>
  <si>
    <t>+1-910-497-9591x682</t>
  </si>
  <si>
    <t>81617 Destiny Flats, West Michael, OK 91106</t>
  </si>
  <si>
    <t>Ricardo Jones</t>
  </si>
  <si>
    <t>ricardo.jones@microsoft.com</t>
  </si>
  <si>
    <t>682.533.2122x02401</t>
  </si>
  <si>
    <t>663 William Park, Port Pam, SD 51720</t>
  </si>
  <si>
    <t>Lisa Chen</t>
  </si>
  <si>
    <t>lisa.chen@facebook.com</t>
  </si>
  <si>
    <t>001-460-504-9507</t>
  </si>
  <si>
    <t>865 Donaldson Grove Apt. 606, Scotttown, OK 37309</t>
  </si>
  <si>
    <t>Jeffrey Mccormick</t>
  </si>
  <si>
    <t>jeffrey.mccormick@tesla.com</t>
  </si>
  <si>
    <t>889-213-5519</t>
  </si>
  <si>
    <t>45858 Alyssa Isle, South Ricardofurt, VT 54839</t>
  </si>
  <si>
    <t>Charles Dean</t>
  </si>
  <si>
    <t>charles.dean@apple.com</t>
  </si>
  <si>
    <t>578-619-4187x384</t>
  </si>
  <si>
    <t>7161 Brandi Divide, Jillfort, PA 09825</t>
  </si>
  <si>
    <t>Jessica Salas</t>
  </si>
  <si>
    <t>jessica.salas@netflix.com</t>
  </si>
  <si>
    <t>001-236-836-2491</t>
  </si>
  <si>
    <t>USS James, FPO AA 36087</t>
  </si>
  <si>
    <t>Edwin Richardson</t>
  </si>
  <si>
    <t>edwin.richardson@microsoft.com</t>
  </si>
  <si>
    <t>+1-576-670-7321x030</t>
  </si>
  <si>
    <t>39347 Johnson Hills Apt. 968, Hannahburgh, LA 25628</t>
  </si>
  <si>
    <t>Yolanda Matthews</t>
  </si>
  <si>
    <t>yolanda.matthews@apple.com</t>
  </si>
  <si>
    <t>706.471.6588x24633</t>
  </si>
  <si>
    <t>75355 Brandon Isle, New Adam, MD 80136</t>
  </si>
  <si>
    <t>Jessica Watkins</t>
  </si>
  <si>
    <t>jessica.watkins@adobe.com</t>
  </si>
  <si>
    <t>096-173-0749x51631</t>
  </si>
  <si>
    <t>USS Phillips, FPO AA 61382</t>
  </si>
  <si>
    <t>Michele Miller</t>
  </si>
  <si>
    <t>michele.miller@facebook.com</t>
  </si>
  <si>
    <t>001-251-617-1753x11008</t>
  </si>
  <si>
    <t>PSC 0743, Box 3942, APO AA 85872</t>
  </si>
  <si>
    <t>Michael Flynn</t>
  </si>
  <si>
    <t>michael.flynn@intel.com</t>
  </si>
  <si>
    <t>874-476-7063x477</t>
  </si>
  <si>
    <t>214 Baker Place, South Nicole, AR 23659</t>
  </si>
  <si>
    <t>Phyllis Palmer</t>
  </si>
  <si>
    <t>phyllis.palmer@google.com</t>
  </si>
  <si>
    <t>+1-990-073-6993x911</t>
  </si>
  <si>
    <t>94505 Brenda Park Apt. 874, Halltown, UT 07311</t>
  </si>
  <si>
    <t>Hannah Jefferson</t>
  </si>
  <si>
    <t>hannah.jefferson@apple.com</t>
  </si>
  <si>
    <t>(902)142-7224x838</t>
  </si>
  <si>
    <t>952 Cooper Cape, South Laurastad, MN 10101</t>
  </si>
  <si>
    <t>David Wagner</t>
  </si>
  <si>
    <t>david.wagner@apple.com</t>
  </si>
  <si>
    <t>+1-817-121-0043x3275</t>
  </si>
  <si>
    <t>5782 Rachel Lodge Suite 900, New Jameshaven, NC 87561</t>
  </si>
  <si>
    <t>Connor Mills</t>
  </si>
  <si>
    <t>connor.mills@apple.com</t>
  </si>
  <si>
    <t>(721)114-3518x651</t>
  </si>
  <si>
    <t>78641 Estes Unions, Lake Gabriellemouth, MT 97086</t>
  </si>
  <si>
    <t>Sandra Jackson</t>
  </si>
  <si>
    <t>sandra.jackson@netflix.com</t>
  </si>
  <si>
    <t>(790)121-8334x94914</t>
  </si>
  <si>
    <t>000 Perez Highway Suite 483, New George, RI 08021</t>
  </si>
  <si>
    <t>Brenda Martinez</t>
  </si>
  <si>
    <t>brenda.martinez@microsoft.com</t>
  </si>
  <si>
    <t>001-166-008-5694x7299</t>
  </si>
  <si>
    <t>25183 Desiree Alley Suite 217, Charleshaven, SD 22768</t>
  </si>
  <si>
    <t>Linda Thomas</t>
  </si>
  <si>
    <t>linda.thomas@tesla.com</t>
  </si>
  <si>
    <t>2164 Hester Pine Suite 907, Port Kevin, NV 74723</t>
  </si>
  <si>
    <t>Jason Douglas</t>
  </si>
  <si>
    <t>jason.douglas@facebook.com</t>
  </si>
  <si>
    <t>753.806.6305x9796</t>
  </si>
  <si>
    <t>335 Erica Station Suite 146, North Aaron, IL 78456</t>
  </si>
  <si>
    <t>john.johnson@facebook.com</t>
  </si>
  <si>
    <t>+1-048-724-1334x3665</t>
  </si>
  <si>
    <t>467 Sherman Glen, West Kimberly, IL 82342</t>
  </si>
  <si>
    <t>Sheila Garza DDS</t>
  </si>
  <si>
    <t>sheila.garza.dds@tesla.com</t>
  </si>
  <si>
    <t>220.433.2233</t>
  </si>
  <si>
    <t>6293 Joyce Forges, Chapmantown, CT 55681</t>
  </si>
  <si>
    <t>Lisa Herring</t>
  </si>
  <si>
    <t>lisa.herring@amazon.com</t>
  </si>
  <si>
    <t>574.518.3210x934</t>
  </si>
  <si>
    <t>79726 Mary Hills Apt. 750, East Thomas, NM 62959</t>
  </si>
  <si>
    <t>Jerry Holloway</t>
  </si>
  <si>
    <t>jerry.holloway@netflix.com</t>
  </si>
  <si>
    <t>173-029-8345x96206</t>
  </si>
  <si>
    <t>29196 Jason Path Suite 221, East Jameshaven, KS 15471</t>
  </si>
  <si>
    <t>Brittany Wood</t>
  </si>
  <si>
    <t>brittany.wood@adobe.com</t>
  </si>
  <si>
    <t>946-743-2091x862</t>
  </si>
  <si>
    <t>8014 Stewart Valley Apt. 363, South Robert, VT 18662</t>
  </si>
  <si>
    <t>Jacob Johnson</t>
  </si>
  <si>
    <t>jacob.johnson@tesla.com</t>
  </si>
  <si>
    <t>290 Brenda Harbor Apt. 768, Port Victorfurt, TN 81764</t>
  </si>
  <si>
    <t>Angela Allison</t>
  </si>
  <si>
    <t>angela.allison@facebook.com</t>
  </si>
  <si>
    <t>+1-398-109-1649x7989</t>
  </si>
  <si>
    <t>USNS Holloway, FPO AA 77662</t>
  </si>
  <si>
    <t>Andrea Hoover</t>
  </si>
  <si>
    <t>andrea.hoover@apple.com</t>
  </si>
  <si>
    <t>(268)267-0063x7973</t>
  </si>
  <si>
    <t>158 William Roads Apt. 753, Grayfort, ID 10552</t>
  </si>
  <si>
    <t>Tara Anderson</t>
  </si>
  <si>
    <t>tara.anderson@google.com</t>
  </si>
  <si>
    <t>852 Reid Wall Suite 281, Leachport, KY 57141</t>
  </si>
  <si>
    <t>Jason Reeves</t>
  </si>
  <si>
    <t>jason.reeves@apple.com</t>
  </si>
  <si>
    <t>712.900.8436x9844</t>
  </si>
  <si>
    <t>14091 Calderon Harbors, West Dawn, WV 22761</t>
  </si>
  <si>
    <t>Adam Park</t>
  </si>
  <si>
    <t>adam.park@netflix.com</t>
  </si>
  <si>
    <t>113-910-0227x86141</t>
  </si>
  <si>
    <t>29120 Guzman Pine Suite 818, West Angelaview, WI 52815</t>
  </si>
  <si>
    <t>Ronald Peters</t>
  </si>
  <si>
    <t>ronald.peters@microsoft.com</t>
  </si>
  <si>
    <t>849-899-6623x03374</t>
  </si>
  <si>
    <t>78814 Elizabeth Hills, Velasquezland, HI 33711</t>
  </si>
  <si>
    <t>Peter Brooks</t>
  </si>
  <si>
    <t>peter.brooks@google.com</t>
  </si>
  <si>
    <t>042-921-9894x875</t>
  </si>
  <si>
    <t>086 Dixon Tunnel, Lake Cindyside, NV 74136</t>
  </si>
  <si>
    <t>Ronald Wyatt</t>
  </si>
  <si>
    <t>ronald.wyatt@adobe.com</t>
  </si>
  <si>
    <t>906.320.6546</t>
  </si>
  <si>
    <t>16071 Roach Route, North Kevin, MN 86820</t>
  </si>
  <si>
    <t>Jeffrey Oneal</t>
  </si>
  <si>
    <t>jeffrey.oneal@google.com</t>
  </si>
  <si>
    <t>+1-504-751-4920x847</t>
  </si>
  <si>
    <t>437 Butler Mission, North Seanburgh, MT 34286</t>
  </si>
  <si>
    <t>Jonathan Harper</t>
  </si>
  <si>
    <t>jonathan.harper@adobe.com</t>
  </si>
  <si>
    <t>333-989-2385</t>
  </si>
  <si>
    <t>USCGC Myers, FPO AE 00769</t>
  </si>
  <si>
    <t>Kelly Gomez</t>
  </si>
  <si>
    <t>kelly.gomez@google.com</t>
  </si>
  <si>
    <t>(701)106-3712</t>
  </si>
  <si>
    <t>187 Amy Skyway Apt. 919, Mcgeeland, WY 98475</t>
  </si>
  <si>
    <t>Adriana Odom</t>
  </si>
  <si>
    <t>adriana.odom@netflix.com</t>
  </si>
  <si>
    <t>649.087.3906x247</t>
  </si>
  <si>
    <t>6469 Cheryl Parkway, West Brendastad, MD 31217</t>
  </si>
  <si>
    <t>Christopher Brown</t>
  </si>
  <si>
    <t>christopher.brown@netflix.com</t>
  </si>
  <si>
    <t>001-541-289-2680x513</t>
  </si>
  <si>
    <t>270 Edwards Course, Port William, KS 53808</t>
  </si>
  <si>
    <t>Joshua Watson</t>
  </si>
  <si>
    <t>joshua.watson@facebook.com</t>
  </si>
  <si>
    <t>001-513-897-9460x812</t>
  </si>
  <si>
    <t>60919 Danielle Tunnel, New Nicholas, NE 09478</t>
  </si>
  <si>
    <t>Mrs. Susan King MD</t>
  </si>
  <si>
    <t>mrs..susan.king.md@facebook.com</t>
  </si>
  <si>
    <t>+1-062-067-0527x6931</t>
  </si>
  <si>
    <t>8034 Gomez Glens Suite 767, South Christopher, UT 82474</t>
  </si>
  <si>
    <t>Martha Gardner</t>
  </si>
  <si>
    <t>martha.gardner@tesla.com</t>
  </si>
  <si>
    <t>001-108-514-0719x26970</t>
  </si>
  <si>
    <t>661 Lindsay Village, Lake Reginald, MS 51254</t>
  </si>
  <si>
    <t>James Wong</t>
  </si>
  <si>
    <t>james.wong@google.com</t>
  </si>
  <si>
    <t>(444)845-4121x37960</t>
  </si>
  <si>
    <t>4020 Victor Parkways, New Tammy, MI 20406</t>
  </si>
  <si>
    <t>Brandon Paul</t>
  </si>
  <si>
    <t>brandon.paul@ibm.com</t>
  </si>
  <si>
    <t>001-646-958-7753x69561</t>
  </si>
  <si>
    <t>87900 Robinson Track, Port Amandaton, OR 50305</t>
  </si>
  <si>
    <t>Juan Allen</t>
  </si>
  <si>
    <t>juan.allen@microsoft.com</t>
  </si>
  <si>
    <t>(469)934-8288</t>
  </si>
  <si>
    <t>74434 Christian Point Apt. 703, Kariport, HI 23378</t>
  </si>
  <si>
    <t>Matthew Blair</t>
  </si>
  <si>
    <t>matthew.blair@ibm.com</t>
  </si>
  <si>
    <t>84589 Anthony Loop Suite 488, North Calvin, VA 29063</t>
  </si>
  <si>
    <t>Brenda Patel</t>
  </si>
  <si>
    <t>brenda.patel@amazon.com</t>
  </si>
  <si>
    <t>+1-930-064-2938x41949</t>
  </si>
  <si>
    <t>134 Alexis Parkway Apt. 085, Nealhaven, HI 18787</t>
  </si>
  <si>
    <t>Steven Salazar</t>
  </si>
  <si>
    <t>steven.salazar@amazon.com</t>
  </si>
  <si>
    <t>490-981-1057</t>
  </si>
  <si>
    <t>38501 Lopez Turnpike Suite 891, Port Steven, DE 95179</t>
  </si>
  <si>
    <t>Leslie Dunn</t>
  </si>
  <si>
    <t>leslie.dunn@ibm.com</t>
  </si>
  <si>
    <t>001-462-047-6924x470</t>
  </si>
  <si>
    <t>USS King, FPO AP 80693</t>
  </si>
  <si>
    <t>Brian Aguilar</t>
  </si>
  <si>
    <t>brian.aguilar@apple.com</t>
  </si>
  <si>
    <t>112-315-0124x614</t>
  </si>
  <si>
    <t>7287 Foster Ferry, South Matthewshire, KY 26321</t>
  </si>
  <si>
    <t>Evan Castro</t>
  </si>
  <si>
    <t>evan.castro@google.com</t>
  </si>
  <si>
    <t>602.362.5442x3090</t>
  </si>
  <si>
    <t>207 Rachel Cape Apt. 783, Roberttown, MN 05559</t>
  </si>
  <si>
    <t>Philip Smith</t>
  </si>
  <si>
    <t>philip.smith@apple.com</t>
  </si>
  <si>
    <t>297.509.4918x176</t>
  </si>
  <si>
    <t>84659 Burton Manor Suite 331, West Patrick, UT 58377</t>
  </si>
  <si>
    <t>Meredith Collins</t>
  </si>
  <si>
    <t>meredith.collins@netflix.com</t>
  </si>
  <si>
    <t>+1-586-146-6766x0063</t>
  </si>
  <si>
    <t>Unit 3559 Box 3445, DPO AA 54331</t>
  </si>
  <si>
    <t>Sarah Walker</t>
  </si>
  <si>
    <t>sarah.walker@amazon.com</t>
  </si>
  <si>
    <t>(893)719-8438</t>
  </si>
  <si>
    <t>Unit 9348 Box 9679, DPO AA 26677</t>
  </si>
  <si>
    <t>Jeffrey Douglas</t>
  </si>
  <si>
    <t>jeffrey.douglas@facebook.com</t>
  </si>
  <si>
    <t>721-342-2573x9174</t>
  </si>
  <si>
    <t>108 Donna Turnpike, North Kristen, WV 22430</t>
  </si>
  <si>
    <t>Kristopher Perry</t>
  </si>
  <si>
    <t>kristopher.perry@ibm.com</t>
  </si>
  <si>
    <t>728 Miller Bypass Apt. 710, West Jennifer, WA 23196</t>
  </si>
  <si>
    <t>William Garcia</t>
  </si>
  <si>
    <t>william.garcia@netflix.com</t>
  </si>
  <si>
    <t>+1-052-077-8374x56837</t>
  </si>
  <si>
    <t>7645 Sydney Summit Suite 877, Andersonchester, ND 09707</t>
  </si>
  <si>
    <t>Matthew Owens</t>
  </si>
  <si>
    <t>matthew.owens@netflix.com</t>
  </si>
  <si>
    <t>611 Mitchell Mills Apt. 816, South Laura, FL 18930</t>
  </si>
  <si>
    <t>Patricia Fuentes</t>
  </si>
  <si>
    <t>patricia.fuentes@microsoft.com</t>
  </si>
  <si>
    <t>001-778-019-6390</t>
  </si>
  <si>
    <t>USNV Brown, FPO AE 90070</t>
  </si>
  <si>
    <t>Jessica Farrell</t>
  </si>
  <si>
    <t>jessica.farrell@google.com</t>
  </si>
  <si>
    <t>(954)005-8062x8329</t>
  </si>
  <si>
    <t>942 Robert Valley, Robinsonland, VT 90525</t>
  </si>
  <si>
    <t>Rebekah Kim</t>
  </si>
  <si>
    <t>rebekah.kim@intel.com</t>
  </si>
  <si>
    <t>(520)052-4809x861</t>
  </si>
  <si>
    <t>763 Curtis Inlet, Thomastown, DC 73075</t>
  </si>
  <si>
    <t>Matthew Wilson</t>
  </si>
  <si>
    <t>matthew.wilson@google.com</t>
  </si>
  <si>
    <t>001-204-519-5188</t>
  </si>
  <si>
    <t>Unit 0915 Box 7149, DPO AE 39068</t>
  </si>
  <si>
    <t>Roger Young</t>
  </si>
  <si>
    <t>roger.young@facebook.com</t>
  </si>
  <si>
    <t>+1-211-520-0429x669</t>
  </si>
  <si>
    <t>48863 Wells Burgs Apt. 781, Codystad, KY 36270</t>
  </si>
  <si>
    <t>Mark Lane</t>
  </si>
  <si>
    <t>mark.lane@intel.com</t>
  </si>
  <si>
    <t>719.368.9974x150</t>
  </si>
  <si>
    <t>7858 Alvarez Key Suite 941, Lake Michaelfurt, AK 11474</t>
  </si>
  <si>
    <t>Stephanie West</t>
  </si>
  <si>
    <t>stephanie.west@amazon.com</t>
  </si>
  <si>
    <t>885-054-1008x0598</t>
  </si>
  <si>
    <t>65864 Paul Village, Jenniferberg, PA 53332</t>
  </si>
  <si>
    <t>Tracy Allen</t>
  </si>
  <si>
    <t>tracy.allen@apple.com</t>
  </si>
  <si>
    <t>+1-035-711-8433x397</t>
  </si>
  <si>
    <t>844 Eric Ford Suite 575, New Aaron, DE 05421</t>
  </si>
  <si>
    <t>Matthew Hernandez</t>
  </si>
  <si>
    <t>matthew.hernandez@amazon.com</t>
  </si>
  <si>
    <t>001-291-679-2629x350</t>
  </si>
  <si>
    <t>22929 Nicole Drives Apt. 852, Port Christopherbury, NM 08395</t>
  </si>
  <si>
    <t>Ethan Hansen</t>
  </si>
  <si>
    <t>ethan.hansen@google.com</t>
  </si>
  <si>
    <t>(604)326-7708</t>
  </si>
  <si>
    <t>3169 Evans Crossing, East Richardborough, MT 16711</t>
  </si>
  <si>
    <t>Jordan Eaton</t>
  </si>
  <si>
    <t>jordan.eaton@amazon.com</t>
  </si>
  <si>
    <t>95271 Theresa Hollow, Jonesbury, FL 79588</t>
  </si>
  <si>
    <t>Kevin Hendrix</t>
  </si>
  <si>
    <t>kevin.hendrix@adobe.com</t>
  </si>
  <si>
    <t>51501 Fisher Forks, Port Kelly, WV 21296</t>
  </si>
  <si>
    <t>Jonathan Knight</t>
  </si>
  <si>
    <t>jonathan.knight@google.com</t>
  </si>
  <si>
    <t>556.139.2501x3074</t>
  </si>
  <si>
    <t>382 Owens Forges Suite 096, West Katherine, OK 04138</t>
  </si>
  <si>
    <t>David Osborne</t>
  </si>
  <si>
    <t>david.osborne@facebook.com</t>
  </si>
  <si>
    <t>+1-601-462-4504x31160</t>
  </si>
  <si>
    <t>3507 Adam Light, Lewisshire, VT 47134</t>
  </si>
  <si>
    <t>Carrie Jackson MD</t>
  </si>
  <si>
    <t>carrie.jackson.md@facebook.com</t>
  </si>
  <si>
    <t>995.409.8512</t>
  </si>
  <si>
    <t>7294 Debra Causeway, East Joyce, MS 73042</t>
  </si>
  <si>
    <t>Thomas Bridges</t>
  </si>
  <si>
    <t>thomas.bridges@netflix.com</t>
  </si>
  <si>
    <t>799 Collins Point Apt. 046, West James, DC 93903</t>
  </si>
  <si>
    <t>Gary Green</t>
  </si>
  <si>
    <t>gary.green@adobe.com</t>
  </si>
  <si>
    <t>001-878-290-8972x50541</t>
  </si>
  <si>
    <t>80140 Rodriguez Mountain, Shannonview, OK 22867</t>
  </si>
  <si>
    <t>Jamie Powers</t>
  </si>
  <si>
    <t>jamie.powers@apple.com</t>
  </si>
  <si>
    <t>(801)647-3573x146</t>
  </si>
  <si>
    <t>253 Jarvis Coves, Zavalahaven, AK 53896</t>
  </si>
  <si>
    <t>Timothy Gonzalez</t>
  </si>
  <si>
    <t>timothy.gonzalez@netflix.com</t>
  </si>
  <si>
    <t>001-971-347-1101x3711</t>
  </si>
  <si>
    <t>07872 Anna Stream Suite 190, Sarahstad, OH 75529</t>
  </si>
  <si>
    <t>Jennifer Kane</t>
  </si>
  <si>
    <t>jennifer.kane@amazon.com</t>
  </si>
  <si>
    <t>(140)414-2978x096</t>
  </si>
  <si>
    <t>726 Ford Heights, Billyton, HI 99420</t>
  </si>
  <si>
    <t>Hannah Bell</t>
  </si>
  <si>
    <t>hannah.bell@facebook.com</t>
  </si>
  <si>
    <t>498 Paul Springs Apt. 954, South Sean, MA 74069</t>
  </si>
  <si>
    <t>Teresa Davis</t>
  </si>
  <si>
    <t>teresa.davis@microsoft.com</t>
  </si>
  <si>
    <t>(608)327-2018x110</t>
  </si>
  <si>
    <t>80738 Andrea Squares, South Dave, KY 61440</t>
  </si>
  <si>
    <t>Edward Johnson</t>
  </si>
  <si>
    <t>edward.johnson@ibm.com</t>
  </si>
  <si>
    <t>531-166-9552x1206</t>
  </si>
  <si>
    <t>4964 Heidi Radial, Kimstad, WV 43759</t>
  </si>
  <si>
    <t>Larry Mathews</t>
  </si>
  <si>
    <t>larry.mathews@apple.com</t>
  </si>
  <si>
    <t>45718 Samuel Ports, Justinmouth, KY 26080</t>
  </si>
  <si>
    <t>Tammy Bishop</t>
  </si>
  <si>
    <t>tammy.bishop@amazon.com</t>
  </si>
  <si>
    <t>001-729-502-3054</t>
  </si>
  <si>
    <t>25035 Shelby Brook Suite 887, South Danamouth, MD 68404</t>
  </si>
  <si>
    <t>Victor Goodwin</t>
  </si>
  <si>
    <t>victor.goodwin@intel.com</t>
  </si>
  <si>
    <t>001-974-349-2672x589</t>
  </si>
  <si>
    <t>1587 Randall Wall, Richardsstad, ND 33271</t>
  </si>
  <si>
    <t>Matthew Arnold</t>
  </si>
  <si>
    <t>matthew.arnold@netflix.com</t>
  </si>
  <si>
    <t>842-244-6235x6244</t>
  </si>
  <si>
    <t>8976 Carla Estates, Timothyport, OK 83068</t>
  </si>
  <si>
    <t>Robert Jennings</t>
  </si>
  <si>
    <t>robert.jennings@facebook.com</t>
  </si>
  <si>
    <t>328 Gibbs Path Suite 702, Port Christopherfort, DC 83327</t>
  </si>
  <si>
    <t>Nicole Flynn</t>
  </si>
  <si>
    <t>nicole.flynn@intel.com</t>
  </si>
  <si>
    <t>108-307-4240x3157</t>
  </si>
  <si>
    <t>256 Kendra Lights, South Amanda, WV 08604</t>
  </si>
  <si>
    <t>Steven Hubbard</t>
  </si>
  <si>
    <t>steven.hubbard@adobe.com</t>
  </si>
  <si>
    <t>217.082.4695x164</t>
  </si>
  <si>
    <t>931 Martin Corner Suite 298, Kathleenfort, WA 50198</t>
  </si>
  <si>
    <t>Kathy Dalton</t>
  </si>
  <si>
    <t>kathy.dalton@facebook.com</t>
  </si>
  <si>
    <t>985-181-0119</t>
  </si>
  <si>
    <t>899 Levy Haven Apt. 508, North Steven, TN 30474</t>
  </si>
  <si>
    <t>Daniel Henry</t>
  </si>
  <si>
    <t>daniel.henry@adobe.com</t>
  </si>
  <si>
    <t>001-000-763-6304x285</t>
  </si>
  <si>
    <t>PSC 7887, Box 1810, APO AP 59741</t>
  </si>
  <si>
    <t>Steven Valenzuela</t>
  </si>
  <si>
    <t>steven.valenzuela@microsoft.com</t>
  </si>
  <si>
    <t>001-140-589-0453x885</t>
  </si>
  <si>
    <t>99401 Snyder Club, Briannaside, DE 40745</t>
  </si>
  <si>
    <t>Gary Wilson</t>
  </si>
  <si>
    <t>gary.wilson@intel.com</t>
  </si>
  <si>
    <t>(664)426-5986x67797</t>
  </si>
  <si>
    <t>510 Gibbs Junctions Suite 216, Jennifertown, IL 88504</t>
  </si>
  <si>
    <t>Adam Morgan</t>
  </si>
  <si>
    <t>adam.morgan@amazon.com</t>
  </si>
  <si>
    <t>867-663-6521</t>
  </si>
  <si>
    <t>2930 Austin Key Apt. 412, South Cameronfurt, DE 25766</t>
  </si>
  <si>
    <t>Kayla Salazar</t>
  </si>
  <si>
    <t>kayla.salazar@tesla.com</t>
  </si>
  <si>
    <t>21745 Dale Locks Apt. 382, Williamburgh, AK 50400</t>
  </si>
  <si>
    <t>Harold Hernandez</t>
  </si>
  <si>
    <t>harold.hernandez@ibm.com</t>
  </si>
  <si>
    <t>775-483-6821x49657</t>
  </si>
  <si>
    <t>11423 Emily Circles Apt. 158, Shawtown, MA 39118</t>
  </si>
  <si>
    <t>Lisa Sanchez</t>
  </si>
  <si>
    <t>lisa.sanchez@facebook.com</t>
  </si>
  <si>
    <t>2130 Sandoval Cape Apt. 273, North Krista, NJ 29683</t>
  </si>
  <si>
    <t>Elizabeth Smith</t>
  </si>
  <si>
    <t>elizabeth.smith@netflix.com</t>
  </si>
  <si>
    <t>(269)250-3727</t>
  </si>
  <si>
    <t>40390 Sandra Courts, West Richardside, AZ 14990</t>
  </si>
  <si>
    <t>Alexandra Hester</t>
  </si>
  <si>
    <t>alexandra.hester@tesla.com</t>
  </si>
  <si>
    <t>001-906-781-7461x239</t>
  </si>
  <si>
    <t>Unit 3959 Box 4420, DPO AA 53139</t>
  </si>
  <si>
    <t>William Blake</t>
  </si>
  <si>
    <t>william.blake@netflix.com</t>
  </si>
  <si>
    <t>001-267-765-1560</t>
  </si>
  <si>
    <t>6793 Farmer Circle Suite 322, Lindaburgh, VA 82294</t>
  </si>
  <si>
    <t>Michael Dunn</t>
  </si>
  <si>
    <t>michael.dunn@apple.com</t>
  </si>
  <si>
    <t>001-345-748-0468x4132</t>
  </si>
  <si>
    <t>87595 Robert Trail Suite 845, North Steven, VA 69199</t>
  </si>
  <si>
    <t>Stephanie Alexander</t>
  </si>
  <si>
    <t>stephanie.alexander@netflix.com</t>
  </si>
  <si>
    <t>187.553.8803x04462</t>
  </si>
  <si>
    <t>788 Davis Wall Apt. 648, Kevinbury, VA 51353</t>
  </si>
  <si>
    <t>Sergio Brown</t>
  </si>
  <si>
    <t>sergio.brown@adobe.com</t>
  </si>
  <si>
    <t>+1-596-992-3522x45743</t>
  </si>
  <si>
    <t>6529 Alex Manors Apt. 811, East Thomasland, CT 95389</t>
  </si>
  <si>
    <t>Corey Garcia</t>
  </si>
  <si>
    <t>corey.garcia@intel.com</t>
  </si>
  <si>
    <t>389 Carter Islands Apt. 679, Ayalabury, DC 21683</t>
  </si>
  <si>
    <t>Andrew Gonzalez</t>
  </si>
  <si>
    <t>andrew.gonzalez@google.com</t>
  </si>
  <si>
    <t>611-850-1536</t>
  </si>
  <si>
    <t>0528 Edwin Land Apt. 463, Grahamland, NY 16611</t>
  </si>
  <si>
    <t>Jared Hill</t>
  </si>
  <si>
    <t>jared.hill@google.com</t>
  </si>
  <si>
    <t>192.952.3698x633</t>
  </si>
  <si>
    <t>318 Burgess Plains Suite 429, Thomasland, KY 24590</t>
  </si>
  <si>
    <t>Brian Ruiz</t>
  </si>
  <si>
    <t>brian.ruiz@adobe.com</t>
  </si>
  <si>
    <t>(256)587-1838x13076</t>
  </si>
  <si>
    <t>264 Renee Alley Suite 055, New Paulport, SD 14489</t>
  </si>
  <si>
    <t>Robert Hanson</t>
  </si>
  <si>
    <t>robert.hanson@google.com</t>
  </si>
  <si>
    <t>001-452-927-7107</t>
  </si>
  <si>
    <t>4636 Dustin Wells Apt. 537, Jaredborough, TX 30513</t>
  </si>
  <si>
    <t>Laura Cox</t>
  </si>
  <si>
    <t>laura.cox@ibm.com</t>
  </si>
  <si>
    <t>688-487-6621x7170</t>
  </si>
  <si>
    <t>894 Amanda Ford, North Brittany, MT 25300</t>
  </si>
  <si>
    <t>James Neal</t>
  </si>
  <si>
    <t>james.neal@facebook.com</t>
  </si>
  <si>
    <t>646-910-3480x88726</t>
  </si>
  <si>
    <t>3842 Reid Vista, Jeremyside, NJ 95240</t>
  </si>
  <si>
    <t>Fred Flowers</t>
  </si>
  <si>
    <t>fred.flowers@netflix.com</t>
  </si>
  <si>
    <t>001-533-615-5768x2883</t>
  </si>
  <si>
    <t>17508 Jones Streets, Whitneyside, CT 47573</t>
  </si>
  <si>
    <t>Jonathan Sanders</t>
  </si>
  <si>
    <t>jonathan.sanders@intel.com</t>
  </si>
  <si>
    <t>001-812-122-7021</t>
  </si>
  <si>
    <t>7349 Claudia Ville, Schmidtberg, NE 84937</t>
  </si>
  <si>
    <t>Jonathan Adams</t>
  </si>
  <si>
    <t>jonathan.adams@amazon.com</t>
  </si>
  <si>
    <t>352-148-2358</t>
  </si>
  <si>
    <t>9818 Adrienne Plaza Suite 094, Jackiefort, VT 96097</t>
  </si>
  <si>
    <t>Erin Brown</t>
  </si>
  <si>
    <t>erin.brown@netflix.com</t>
  </si>
  <si>
    <t>893.888.5467</t>
  </si>
  <si>
    <t>476 Smith Village Suite 784, New Suzanne, WY 36365</t>
  </si>
  <si>
    <t>Caleb Nelson</t>
  </si>
  <si>
    <t>caleb.nelson@microsoft.com</t>
  </si>
  <si>
    <t>(239)090-1182</t>
  </si>
  <si>
    <t>67010 Ward Crossroad, New Dakotabury, OK 70290</t>
  </si>
  <si>
    <t>Lucas Torres</t>
  </si>
  <si>
    <t>lucas.torres@ibm.com</t>
  </si>
  <si>
    <t>684.074.5879x044</t>
  </si>
  <si>
    <t>01382 Anderson Brooks Suite 500, North Oliviashire, UT 43448</t>
  </si>
  <si>
    <t>Thomas Le</t>
  </si>
  <si>
    <t>thomas.le@google.com</t>
  </si>
  <si>
    <t>+1-041-312-4687x869</t>
  </si>
  <si>
    <t>462 Scott Canyon, Wrighttown, CA 60134</t>
  </si>
  <si>
    <t>Kaitlyn Jackson</t>
  </si>
  <si>
    <t>kaitlyn.jackson@microsoft.com</t>
  </si>
  <si>
    <t>(491)684-9277x67447</t>
  </si>
  <si>
    <t>74866 Callahan Plains, Bennettburgh, WI 73005</t>
  </si>
  <si>
    <t>Shelly Miller</t>
  </si>
  <si>
    <t>shelly.miller@apple.com</t>
  </si>
  <si>
    <t>204.274.8962x4939</t>
  </si>
  <si>
    <t>3304 Patel Garden, East Marvintown, AZ 84518</t>
  </si>
  <si>
    <t>Paige Bell</t>
  </si>
  <si>
    <t>paige.bell@facebook.com</t>
  </si>
  <si>
    <t>001-571-260-1888x5438</t>
  </si>
  <si>
    <t>41020 Torres Square Suite 784, East Brian, SC 18817</t>
  </si>
  <si>
    <t>Micheal Vance</t>
  </si>
  <si>
    <t>micheal.vance@intel.com</t>
  </si>
  <si>
    <t>158-505-3144</t>
  </si>
  <si>
    <t>61144 Charles Pine, West Brianborough, DC 79882</t>
  </si>
  <si>
    <t>Benjamin Hughes</t>
  </si>
  <si>
    <t>benjamin.hughes@microsoft.com</t>
  </si>
  <si>
    <t>504-890-1352x0363</t>
  </si>
  <si>
    <t>2649 Green Plains, East Reginamouth, WY 27125</t>
  </si>
  <si>
    <t>Rebecca Lawrence</t>
  </si>
  <si>
    <t>rebecca.lawrence@microsoft.com</t>
  </si>
  <si>
    <t>841 Hill Crescent, Russellborough, MO 36740</t>
  </si>
  <si>
    <t>Misty Hall</t>
  </si>
  <si>
    <t>misty.hall@facebook.com</t>
  </si>
  <si>
    <t>+1-831-026-1229x943</t>
  </si>
  <si>
    <t>894 Matthew Stream Apt. 646, East Jessica, NY 16754</t>
  </si>
  <si>
    <t>Chad Bruce</t>
  </si>
  <si>
    <t>chad.bruce@intel.com</t>
  </si>
  <si>
    <t>352.686.4723</t>
  </si>
  <si>
    <t>585 Rush Squares, Christopherview, IN 94668</t>
  </si>
  <si>
    <t>Rachel Thompson</t>
  </si>
  <si>
    <t>rachel.thompson@facebook.com</t>
  </si>
  <si>
    <t>(377)477-7224x37237</t>
  </si>
  <si>
    <t>99366 John Valleys, Hodgesfurt, NV 26145</t>
  </si>
  <si>
    <t>Loretta Martinez</t>
  </si>
  <si>
    <t>loretta.martinez@tesla.com</t>
  </si>
  <si>
    <t>+1-341-877-7323x673</t>
  </si>
  <si>
    <t>83039 Barbara Garden Apt. 844, Bridgetmouth, WI 58422</t>
  </si>
  <si>
    <t>Andrew Perez</t>
  </si>
  <si>
    <t>andrew.perez@facebook.com</t>
  </si>
  <si>
    <t>(118)041-8133x663</t>
  </si>
  <si>
    <t>04866 Hobbs Mission, Matthewmouth, KY 61167</t>
  </si>
  <si>
    <t>Thomas Daniel</t>
  </si>
  <si>
    <t>thomas.daniel@ibm.com</t>
  </si>
  <si>
    <t>+1-515-117-2068x122</t>
  </si>
  <si>
    <t>03013 Tasha Summit, Johnsfort, OR 99430</t>
  </si>
  <si>
    <t>Michelle Davis</t>
  </si>
  <si>
    <t>michelle.davis@apple.com</t>
  </si>
  <si>
    <t>(846)431-9651</t>
  </si>
  <si>
    <t>2984 Sharp Ports Apt. 421, Port Sonia, NJ 03392</t>
  </si>
  <si>
    <t>Joseph Richards</t>
  </si>
  <si>
    <t>joseph.richards@apple.com</t>
  </si>
  <si>
    <t>003-131-7790x9120</t>
  </si>
  <si>
    <t>4108 Bonnie Mountain, Michealchester, WI 57664</t>
  </si>
  <si>
    <t>Dustin Wilson</t>
  </si>
  <si>
    <t>dustin.wilson@facebook.com</t>
  </si>
  <si>
    <t>72857 Webb Path Apt. 110, Lake Emily, KY 13026</t>
  </si>
  <si>
    <t>Jessica Robertson</t>
  </si>
  <si>
    <t>jessica.robertson@intel.com</t>
  </si>
  <si>
    <t>560.848.8619</t>
  </si>
  <si>
    <t>PSC 2694, Box 6416, APO AE 83601</t>
  </si>
  <si>
    <t>Jeffrey Dixon</t>
  </si>
  <si>
    <t>jeffrey.dixon@tesla.com</t>
  </si>
  <si>
    <t>211-954-9697x5197</t>
  </si>
  <si>
    <t>244 Warren Shoal, West Kevinfort, AK 12580</t>
  </si>
  <si>
    <t>Monica Yoder</t>
  </si>
  <si>
    <t>monica.yoder@microsoft.com</t>
  </si>
  <si>
    <t>777.773.6243</t>
  </si>
  <si>
    <t>53195 Moore Rapids, Leeshire, MS 72373</t>
  </si>
  <si>
    <t>Briana Brown</t>
  </si>
  <si>
    <t>briana.brown@microsoft.com</t>
  </si>
  <si>
    <t>608-226-1104x5138</t>
  </si>
  <si>
    <t>19446 Lara Inlet Apt. 224, North Carlyberg, NJ 53737</t>
  </si>
  <si>
    <t>Brett Davis</t>
  </si>
  <si>
    <t>brett.davis@netflix.com</t>
  </si>
  <si>
    <t>624-512-8933</t>
  </si>
  <si>
    <t>419 Anderson Row Suite 063, Natalieside, PA 43476</t>
  </si>
  <si>
    <t>Kelly White</t>
  </si>
  <si>
    <t>kelly.white@tesla.com</t>
  </si>
  <si>
    <t>(234)269-2092x78936</t>
  </si>
  <si>
    <t>649 Holly Glen Suite 637, Donnafurt, NM 35379</t>
  </si>
  <si>
    <t>Brandon Rodriguez</t>
  </si>
  <si>
    <t>brandon.rodriguez@adobe.com</t>
  </si>
  <si>
    <t>001-771-341-7669x1336</t>
  </si>
  <si>
    <t>22929 Chambers Well, Angelatown, MN 04040</t>
  </si>
  <si>
    <t>Michael Long</t>
  </si>
  <si>
    <t>michael.long@microsoft.com</t>
  </si>
  <si>
    <t>179.386.0572x463</t>
  </si>
  <si>
    <t>97696 Nicolas Cliffs Suite 819, Joshuaview, NJ 15182</t>
  </si>
  <si>
    <t>Ronald King</t>
  </si>
  <si>
    <t>ronald.king@netflix.com</t>
  </si>
  <si>
    <t>001-678-191-0553</t>
  </si>
  <si>
    <t>USS Villanueva, FPO AA 40597</t>
  </si>
  <si>
    <t>Jonathan Navarro</t>
  </si>
  <si>
    <t>jonathan.navarro@apple.com</t>
  </si>
  <si>
    <t>(686)951-2955</t>
  </si>
  <si>
    <t>23786 Andre Ferry, Amandaburgh, NJ 57544</t>
  </si>
  <si>
    <t>Brian Oconnor</t>
  </si>
  <si>
    <t>brian.oconnor@amazon.com</t>
  </si>
  <si>
    <t>(193)144-4171x6477</t>
  </si>
  <si>
    <t>1440 Mitchell Fords, Judithton, AZ 67287</t>
  </si>
  <si>
    <t>Robert Morales</t>
  </si>
  <si>
    <t>robert.morales@netflix.com</t>
  </si>
  <si>
    <t>001-884-523-9960</t>
  </si>
  <si>
    <t>963 Brian Bypass Suite 640, West Michele, KY 14260</t>
  </si>
  <si>
    <t>Anne Davis</t>
  </si>
  <si>
    <t>anne.davis@netflix.com</t>
  </si>
  <si>
    <t>915.916.1160x399</t>
  </si>
  <si>
    <t>Unit 3706 Box 2254, DPO AE 01620</t>
  </si>
  <si>
    <t>Jimmy Snyder</t>
  </si>
  <si>
    <t>jimmy.snyder@adobe.com</t>
  </si>
  <si>
    <t>573-186-6948x88791</t>
  </si>
  <si>
    <t>8205 Richard Via Suite 764, South Tylerville, ID 75918</t>
  </si>
  <si>
    <t>Jay Gonzalez</t>
  </si>
  <si>
    <t>jay.gonzalez@intel.com</t>
  </si>
  <si>
    <t>527.605.1556x935</t>
  </si>
  <si>
    <t>3103 Gray Prairie Suite 686, North Jefferyshire, DE 72394</t>
  </si>
  <si>
    <t>Casey Chambers</t>
  </si>
  <si>
    <t>casey.chambers@facebook.com</t>
  </si>
  <si>
    <t>447.420.2037x1084</t>
  </si>
  <si>
    <t>0585 Debra Creek Suite 822, Watsonberg, IL 77701</t>
  </si>
  <si>
    <t>Larry Fernandez</t>
  </si>
  <si>
    <t>larry.fernandez@microsoft.com</t>
  </si>
  <si>
    <t>935.147.8520x569</t>
  </si>
  <si>
    <t>01122 Clay Springs Apt. 911, Justinmouth, AK 56739</t>
  </si>
  <si>
    <t>Denise Heath</t>
  </si>
  <si>
    <t>denise.heath@amazon.com</t>
  </si>
  <si>
    <t>015.431.9754x6129</t>
  </si>
  <si>
    <t>175 Campos Fall, Robinsonbury, LA 14649</t>
  </si>
  <si>
    <t>Mr. Justin Sheppard</t>
  </si>
  <si>
    <t>mr..justin.sheppard@apple.com</t>
  </si>
  <si>
    <t>001-032-108-3618x479</t>
  </si>
  <si>
    <t>3191 Alicia Square Apt. 572, West Lisa, MS 22724</t>
  </si>
  <si>
    <t>Sergio Wu</t>
  </si>
  <si>
    <t>sergio.wu@intel.com</t>
  </si>
  <si>
    <t>(727)367-0497</t>
  </si>
  <si>
    <t>2340 Rebekah Plaza Apt. 176, South Douglasland, OR 63828</t>
  </si>
  <si>
    <t>Leslie Wright</t>
  </si>
  <si>
    <t>leslie.wright@intel.com</t>
  </si>
  <si>
    <t>5378 William Highway, Reneeville, CA 35285</t>
  </si>
  <si>
    <t>Henry Gomez</t>
  </si>
  <si>
    <t>henry.gomez@google.com</t>
  </si>
  <si>
    <t>(837)701-8296x9577</t>
  </si>
  <si>
    <t>973 Hendrix Meadows Apt. 271, Lake Taylor, AR 76946</t>
  </si>
  <si>
    <t>Edward Brown</t>
  </si>
  <si>
    <t>edward.brown@adobe.com</t>
  </si>
  <si>
    <t>(024)147-5634x2800</t>
  </si>
  <si>
    <t>88580 Desiree Pines Apt. 883, Lake Ryantown, NV 09175</t>
  </si>
  <si>
    <t>James Jimenez</t>
  </si>
  <si>
    <t>james.jimenez@adobe.com</t>
  </si>
  <si>
    <t>001-237-185-2087x75686</t>
  </si>
  <si>
    <t>9920 Taylor Points, Sheliaborough, NH 28593</t>
  </si>
  <si>
    <t>Kathryn Stephens</t>
  </si>
  <si>
    <t>kathryn.stephens@facebook.com</t>
  </si>
  <si>
    <t>7998 Joshua Fords, Molinaside, VA 02967</t>
  </si>
  <si>
    <t>Kathryn Michael</t>
  </si>
  <si>
    <t>kathryn.michael@microsoft.com</t>
  </si>
  <si>
    <t>692.571.4730</t>
  </si>
  <si>
    <t>1214 Tony Club Apt. 324, Lynnborough, OK 71057</t>
  </si>
  <si>
    <t>Austin Ford</t>
  </si>
  <si>
    <t>austin.ford@google.com</t>
  </si>
  <si>
    <t>053.435.0404x95912</t>
  </si>
  <si>
    <t>40419 Tanner Estates, Michaelstad, ND 91424</t>
  </si>
  <si>
    <t>Richard Vance</t>
  </si>
  <si>
    <t>richard.vance@google.com</t>
  </si>
  <si>
    <t>108-998-9322</t>
  </si>
  <si>
    <t>063 Stephanie Falls, Amandashire, MN 60122</t>
  </si>
  <si>
    <t>Eugene Delgado MD</t>
  </si>
  <si>
    <t>eugene.delgado.md@tesla.com</t>
  </si>
  <si>
    <t>470.759.2013</t>
  </si>
  <si>
    <t>30539 Barbara Drives, South Michaelmouth, IL 82272</t>
  </si>
  <si>
    <t>Gary Rivera</t>
  </si>
  <si>
    <t>gary.rivera@ibm.com</t>
  </si>
  <si>
    <t>(109)734-3719x221</t>
  </si>
  <si>
    <t>090 Erica Circles Suite 825, Emilyborough, VT 56712</t>
  </si>
  <si>
    <t>Beth Warner</t>
  </si>
  <si>
    <t>beth.warner@netflix.com</t>
  </si>
  <si>
    <t>356-288-1347</t>
  </si>
  <si>
    <t>253 Joan Circle Suite 568, South Kathy, ND 22124</t>
  </si>
  <si>
    <t>Kenneth Nichols</t>
  </si>
  <si>
    <t>kenneth.nichols@ibm.com</t>
  </si>
  <si>
    <t>642-745-9412x908</t>
  </si>
  <si>
    <t>99731 Simmons Vista Apt. 753, Davidville, UT 77980</t>
  </si>
  <si>
    <t>Mrs. Christina Davis</t>
  </si>
  <si>
    <t>mrs..christina.davis@tesla.com</t>
  </si>
  <si>
    <t>584.109.1651x55176</t>
  </si>
  <si>
    <t>6241 Robin Mountains, West Jessicamouth, MA 48232</t>
  </si>
  <si>
    <t>Debra Brooks</t>
  </si>
  <si>
    <t>debra.brooks@google.com</t>
  </si>
  <si>
    <t>732-671-4156x290</t>
  </si>
  <si>
    <t>108 Finley Lights Suite 488, Lopezstad, OH 24178</t>
  </si>
  <si>
    <t>Brandon Hancock MD</t>
  </si>
  <si>
    <t>brandon.hancock.md@netflix.com</t>
  </si>
  <si>
    <t>334-399-6928x53696</t>
  </si>
  <si>
    <t>184 Miller Lane, North Kellyborough, MN 25265</t>
  </si>
  <si>
    <t>Don Rodriguez</t>
  </si>
  <si>
    <t>don.rodriguez@intel.com</t>
  </si>
  <si>
    <t>+1-346-313-7125x0191</t>
  </si>
  <si>
    <t>368 Sara Courts Apt. 704, Michaelville, NV 63492</t>
  </si>
  <si>
    <t>James Ho</t>
  </si>
  <si>
    <t>james.ho@apple.com</t>
  </si>
  <si>
    <t>441.623.4753x1513</t>
  </si>
  <si>
    <t>48921 Tracy Course Apt. 258, New Debraborough, CT 18300</t>
  </si>
  <si>
    <t>Gary Hayes</t>
  </si>
  <si>
    <t>gary.hayes@google.com</t>
  </si>
  <si>
    <t>+1-280-311-5947x196</t>
  </si>
  <si>
    <t>65468 Bonnie Orchard, Jaredshire, MI 46691</t>
  </si>
  <si>
    <t>Timothy Conley</t>
  </si>
  <si>
    <t>timothy.conley@ibm.com</t>
  </si>
  <si>
    <t>234.314.4642x579</t>
  </si>
  <si>
    <t>9546 Collins Plaza Suite 516, North Jesseton, ME 84152</t>
  </si>
  <si>
    <t>Melvin Smith DDS</t>
  </si>
  <si>
    <t>melvin.smith.dds@tesla.com</t>
  </si>
  <si>
    <t>753-142-7159</t>
  </si>
  <si>
    <t>5454 Ferguson Glens Apt. 533, East Joseburgh, NC 42725</t>
  </si>
  <si>
    <t>Paula Smith</t>
  </si>
  <si>
    <t>paula.smith@intel.com</t>
  </si>
  <si>
    <t>001-974-674-0192</t>
  </si>
  <si>
    <t>9936 Jesse Glens Apt. 252, Harrisborough, WI 39506</t>
  </si>
  <si>
    <t>Gabriel Richardson</t>
  </si>
  <si>
    <t>gabriel.richardson@adobe.com</t>
  </si>
  <si>
    <t>001-978-771-3762</t>
  </si>
  <si>
    <t>92594 Katie Unions, Port Ricky, FL 68276</t>
  </si>
  <si>
    <t>Erika Stokes</t>
  </si>
  <si>
    <t>erika.stokes@tesla.com</t>
  </si>
  <si>
    <t>777.869.5010x41725</t>
  </si>
  <si>
    <t>649 Dunn Forest, North Susan, NJ 97430</t>
  </si>
  <si>
    <t>Clayton Williams</t>
  </si>
  <si>
    <t>clayton.williams@facebook.com</t>
  </si>
  <si>
    <t>(360)281-4906</t>
  </si>
  <si>
    <t>2976 Karen Courts, Smithborough, WY 81103</t>
  </si>
  <si>
    <t>Nicholas Schmidt</t>
  </si>
  <si>
    <t>nicholas.schmidt@tesla.com</t>
  </si>
  <si>
    <t>+1-262-300-7693x5387</t>
  </si>
  <si>
    <t>3468 Jeffrey Fall, Garrettfort, NY 43450</t>
  </si>
  <si>
    <t>Tracy Le</t>
  </si>
  <si>
    <t>tracy.le@tesla.com</t>
  </si>
  <si>
    <t>621-057-8838</t>
  </si>
  <si>
    <t>864 Allison Streets, North Brittney, TN 95126</t>
  </si>
  <si>
    <t>Matthew Thompson</t>
  </si>
  <si>
    <t>matthew.thompson@apple.com</t>
  </si>
  <si>
    <t>577.495.9744x91603</t>
  </si>
  <si>
    <t>637 Brown Freeway, New Pamela, AR 93924</t>
  </si>
  <si>
    <t>Joe Rocha</t>
  </si>
  <si>
    <t>joe.rocha@microsoft.com</t>
  </si>
  <si>
    <t>116.284.7828</t>
  </si>
  <si>
    <t>5316 Phillips Curve, Paulfort, KY 19715</t>
  </si>
  <si>
    <t>Trevor Hardin</t>
  </si>
  <si>
    <t>trevor.hardin@amazon.com</t>
  </si>
  <si>
    <t>70275 Simon Land, Baxterton, MT 09027</t>
  </si>
  <si>
    <t>Joshua Wood</t>
  </si>
  <si>
    <t>joshua.wood@tesla.com</t>
  </si>
  <si>
    <t>001-030-174-6938</t>
  </si>
  <si>
    <t>612 Glenn Highway, Jillianport, SD 38968</t>
  </si>
  <si>
    <t>Leslie Simmons</t>
  </si>
  <si>
    <t>leslie.simmons@intel.com</t>
  </si>
  <si>
    <t>389 Daniels Wall Suite 938, Batesfurt, AR 88010</t>
  </si>
  <si>
    <t>Mary Mccarthy</t>
  </si>
  <si>
    <t>mary.mccarthy@tesla.com</t>
  </si>
  <si>
    <t>916-427-2882x0595</t>
  </si>
  <si>
    <t>1836 Jessica Station, West Samanthaville, TN 51555</t>
  </si>
  <si>
    <t>Karen Dalton</t>
  </si>
  <si>
    <t>karen.dalton@facebook.com</t>
  </si>
  <si>
    <t>717.848.1245x1461</t>
  </si>
  <si>
    <t>86110 Hughes Center Suite 544, New Brandonhaven, TN 37310</t>
  </si>
  <si>
    <t>Thomas Krueger</t>
  </si>
  <si>
    <t>thomas.krueger@tesla.com</t>
  </si>
  <si>
    <t>(630)794-3034x2578</t>
  </si>
  <si>
    <t>62798 Barber Point Suite 644, Lesliestad, MT 18701</t>
  </si>
  <si>
    <t>Angel Patton</t>
  </si>
  <si>
    <t>angel.patton@ibm.com</t>
  </si>
  <si>
    <t>(636)163-3229x69351</t>
  </si>
  <si>
    <t>7459 Bernard Stream, Port Kristina, NM 60539</t>
  </si>
  <si>
    <t>Cheryl Case</t>
  </si>
  <si>
    <t>cheryl.case@google.com</t>
  </si>
  <si>
    <t>+1-645-618-3367x595</t>
  </si>
  <si>
    <t>771 Stephen Summit, South Seanville, NC 25613</t>
  </si>
  <si>
    <t>Marcus Barnes</t>
  </si>
  <si>
    <t>marcus.barnes@adobe.com</t>
  </si>
  <si>
    <t>545.574.0316x36229</t>
  </si>
  <si>
    <t>531 Cook Ridge Suite 342, East Harold, OR 43952</t>
  </si>
  <si>
    <t>Reginald Delgado</t>
  </si>
  <si>
    <t>reginald.delgado@facebook.com</t>
  </si>
  <si>
    <t>320-272-7841</t>
  </si>
  <si>
    <t>76525 Jones Streets, Leslietown, MO 58768</t>
  </si>
  <si>
    <t>Benjamin Porter</t>
  </si>
  <si>
    <t>benjamin.porter@intel.com</t>
  </si>
  <si>
    <t>215.064.4633x6162</t>
  </si>
  <si>
    <t>821 Marquez Ford Apt. 960, Robinsonview, MN 81011</t>
  </si>
  <si>
    <t>Keith Dorsey</t>
  </si>
  <si>
    <t>keith.dorsey@adobe.com</t>
  </si>
  <si>
    <t>642.427.9372x7333</t>
  </si>
  <si>
    <t>64097 Christopher Fords Apt. 842, Lake James, HI 41588</t>
  </si>
  <si>
    <t>Brittany Nguyen</t>
  </si>
  <si>
    <t>brittany.nguyen@apple.com</t>
  </si>
  <si>
    <t>(261)315-4180x858</t>
  </si>
  <si>
    <t>6519 Miller Springs Suite 115, Lake Taylorport, WY 94623</t>
  </si>
  <si>
    <t>Julie Ramirez</t>
  </si>
  <si>
    <t>julie.ramirez@apple.com</t>
  </si>
  <si>
    <t>908.389.1275x08426</t>
  </si>
  <si>
    <t>PSC 6232, Box 8880, APO AE 50156</t>
  </si>
  <si>
    <t>Paul Fischer</t>
  </si>
  <si>
    <t>paul.fischer@netflix.com</t>
  </si>
  <si>
    <t>+1-769-442-4095x746</t>
  </si>
  <si>
    <t>4010 Jeffrey Ports Suite 394, East Nicholasberg, MA 60801</t>
  </si>
  <si>
    <t>Erik Gardner</t>
  </si>
  <si>
    <t>erik.gardner@amazon.com</t>
  </si>
  <si>
    <t>049.971.7029</t>
  </si>
  <si>
    <t>1920 Ball Oval, Shaneborough, CO 76703</t>
  </si>
  <si>
    <t>April Gonzalez DVM</t>
  </si>
  <si>
    <t>april.gonzalez.dvm@facebook.com</t>
  </si>
  <si>
    <t>801-110-2418</t>
  </si>
  <si>
    <t>709 Cole Common Apt. 376, New Rickyville, NC 47927</t>
  </si>
  <si>
    <t>Christopher Hull</t>
  </si>
  <si>
    <t>christopher.hull@adobe.com</t>
  </si>
  <si>
    <t>09131 Amy Vista Suite 748, Sanchezberg, IA 47141</t>
  </si>
  <si>
    <t>Nancy Merritt</t>
  </si>
  <si>
    <t>nancy.merritt@adobe.com</t>
  </si>
  <si>
    <t>(372)638-2572</t>
  </si>
  <si>
    <t>5053 John Shore, Larrymouth, ID 31884</t>
  </si>
  <si>
    <t>Amy Parsons</t>
  </si>
  <si>
    <t>amy.parsons@netflix.com</t>
  </si>
  <si>
    <t>+1-480-965-1829x9514</t>
  </si>
  <si>
    <t>458 Aaron Cliff, West Daniel, TN 61512</t>
  </si>
  <si>
    <t>Joy Brown</t>
  </si>
  <si>
    <t>joy.brown@netflix.com</t>
  </si>
  <si>
    <t>02096 Whitney Rapid Suite 323, South Rachelbury, NJ 37717</t>
  </si>
  <si>
    <t>Terry Olson</t>
  </si>
  <si>
    <t>terry.olson@ibm.com</t>
  </si>
  <si>
    <t>643.151.2896x40019</t>
  </si>
  <si>
    <t>96514 Johnson Lock, Jacksonchester, MO 02742</t>
  </si>
  <si>
    <t>Jerry Baker</t>
  </si>
  <si>
    <t>jerry.baker@tesla.com</t>
  </si>
  <si>
    <t>(728)647-5941</t>
  </si>
  <si>
    <t>434 Garcia Trail, East Douglasville, NM 67053</t>
  </si>
  <si>
    <t>Jonathan Barton</t>
  </si>
  <si>
    <t>jonathan.barton@tesla.com</t>
  </si>
  <si>
    <t>(088)442-8317</t>
  </si>
  <si>
    <t>9347 Donald Oval Suite 804, Port Garyport, ME 10068</t>
  </si>
  <si>
    <t>Tiffany Reid</t>
  </si>
  <si>
    <t>tiffany.reid@ibm.com</t>
  </si>
  <si>
    <t>001-703-586-1972x62199</t>
  </si>
  <si>
    <t>USS Perry, FPO AA 26147</t>
  </si>
  <si>
    <t>Angela Johnson</t>
  </si>
  <si>
    <t>angela.johnson@netflix.com</t>
  </si>
  <si>
    <t>762.035.7376</t>
  </si>
  <si>
    <t>08626 Dana Alley, Port Rodneyberg, SD 66014</t>
  </si>
  <si>
    <t>Richard Simmons</t>
  </si>
  <si>
    <t>richard.simmons@apple.com</t>
  </si>
  <si>
    <t>(103)759-8936</t>
  </si>
  <si>
    <t>31519 David Islands, Seantown, UT 09222</t>
  </si>
  <si>
    <t>Michael Cannon</t>
  </si>
  <si>
    <t>michael.cannon@apple.com</t>
  </si>
  <si>
    <t>001-749-486-8772x388</t>
  </si>
  <si>
    <t>Unit 3381 Box 8417, DPO AP 53198</t>
  </si>
  <si>
    <t>Chris Casey</t>
  </si>
  <si>
    <t>chris.casey@google.com</t>
  </si>
  <si>
    <t>(465)441-4297x1818</t>
  </si>
  <si>
    <t>37069 Spears Common Suite 198, New Jason, WV 73467</t>
  </si>
  <si>
    <t>Justin Rose</t>
  </si>
  <si>
    <t>justin.rose@ibm.com</t>
  </si>
  <si>
    <t>542.633.7632</t>
  </si>
  <si>
    <t>80900 Megan Grove Suite 107, North Jessicamouth, TN 18856</t>
  </si>
  <si>
    <t>Amy Cook</t>
  </si>
  <si>
    <t>amy.cook@google.com</t>
  </si>
  <si>
    <t>430-279-3900</t>
  </si>
  <si>
    <t>34176 Corey Center Apt. 917, Blairstad, CA 69059</t>
  </si>
  <si>
    <t>Angel Williams</t>
  </si>
  <si>
    <t>angel.williams@amazon.com</t>
  </si>
  <si>
    <t>458.618.4918x7337</t>
  </si>
  <si>
    <t>1672 Jasmine Turnpike, Josephchester, MT 17427</t>
  </si>
  <si>
    <t>Luis Ortiz</t>
  </si>
  <si>
    <t>luis.ortiz@amazon.com</t>
  </si>
  <si>
    <t>964.736.4847x100</t>
  </si>
  <si>
    <t>767 Cummings Gateway Apt. 785, Brennanburgh, KS 27009</t>
  </si>
  <si>
    <t>Elizabeth Becker</t>
  </si>
  <si>
    <t>elizabeth.becker@amazon.com</t>
  </si>
  <si>
    <t>396-377-5991x8983</t>
  </si>
  <si>
    <t>3126 Joanne Walk Apt. 772, West Amandaborough, CO 46602</t>
  </si>
  <si>
    <t>Margaret Nash</t>
  </si>
  <si>
    <t>margaret.nash@amazon.com</t>
  </si>
  <si>
    <t>357-720-9655</t>
  </si>
  <si>
    <t>75194 Mandy Drive Apt. 831, Williamsberg, KY 06611</t>
  </si>
  <si>
    <t>Mariah Sexton</t>
  </si>
  <si>
    <t>mariah.sexton@adobe.com</t>
  </si>
  <si>
    <t>883.751.7091x783</t>
  </si>
  <si>
    <t>147 Ramirez Plaza, Millerside, IN 01201</t>
  </si>
  <si>
    <t>Kimberly Alvarez</t>
  </si>
  <si>
    <t>kimberly.alvarez@ibm.com</t>
  </si>
  <si>
    <t>97637 John Unions, Port Ethan, NH 59283</t>
  </si>
  <si>
    <t>Elizabeth Vargas</t>
  </si>
  <si>
    <t>elizabeth.vargas@adobe.com</t>
  </si>
  <si>
    <t>001-407-211-8471</t>
  </si>
  <si>
    <t>92023 Moreno Glens, Laurenhaven, TX 60741</t>
  </si>
  <si>
    <t>Joseph Jordan</t>
  </si>
  <si>
    <t>joseph.jordan@amazon.com</t>
  </si>
  <si>
    <t>+1-888-673-4628x6719</t>
  </si>
  <si>
    <t>8848 Leah Avenue Apt. 272, West Karen, LA 11651</t>
  </si>
  <si>
    <t>Brett Rosales</t>
  </si>
  <si>
    <t>brett.rosales@ibm.com</t>
  </si>
  <si>
    <t>+1-637-165-9514x47970</t>
  </si>
  <si>
    <t>71144 Roy Highway, Lake Michaelfort, NH 15339</t>
  </si>
  <si>
    <t>Keith Camacho</t>
  </si>
  <si>
    <t>keith.camacho@adobe.com</t>
  </si>
  <si>
    <t>505.741.3378</t>
  </si>
  <si>
    <t>211 Susan Coves, West Heatherberg, OH 29479</t>
  </si>
  <si>
    <t>Theresa Cantu</t>
  </si>
  <si>
    <t>theresa.cantu@facebook.com</t>
  </si>
  <si>
    <t>071.210.5583</t>
  </si>
  <si>
    <t>PSC 0532, Box 7874, APO AE 57646</t>
  </si>
  <si>
    <t>Glenn Edwards</t>
  </si>
  <si>
    <t>glenn.edwards@ibm.com</t>
  </si>
  <si>
    <t>001-175-460-2318x50806</t>
  </si>
  <si>
    <t>5296 Fuentes Fords, East Andretown, WI 74759</t>
  </si>
  <si>
    <t>Melissa Miller</t>
  </si>
  <si>
    <t>melissa.miller@google.com</t>
  </si>
  <si>
    <t>661.748.9650x42873</t>
  </si>
  <si>
    <t>97003 Kennedy Terrace, Martinshire, SC 53565</t>
  </si>
  <si>
    <t>Jessica Foster</t>
  </si>
  <si>
    <t>jessica.foster@ibm.com</t>
  </si>
  <si>
    <t>001-753-017-4981</t>
  </si>
  <si>
    <t>603 Jones Drive Apt. 000, North Matthewberg, VT 70467</t>
  </si>
  <si>
    <t>Timothy Gallagher</t>
  </si>
  <si>
    <t>timothy.gallagher@adobe.com</t>
  </si>
  <si>
    <t>727 Harris Manors, South Michaelshire, MI 23264</t>
  </si>
  <si>
    <t>Courtney Tanner</t>
  </si>
  <si>
    <t>courtney.tanner@microsoft.com</t>
  </si>
  <si>
    <t>(411)217-9930</t>
  </si>
  <si>
    <t>USNS West, FPO AA 43169</t>
  </si>
  <si>
    <t>Sarah Martin</t>
  </si>
  <si>
    <t>sarah.martin@adobe.com</t>
  </si>
  <si>
    <t>057.186.3266</t>
  </si>
  <si>
    <t>49494 Debra Turnpike, Nguyenhaven, SC 68125</t>
  </si>
  <si>
    <t>Curtis Williams</t>
  </si>
  <si>
    <t>curtis.williams@microsoft.com</t>
  </si>
  <si>
    <t>455-827-8823</t>
  </si>
  <si>
    <t>97760 Baker Inlet Apt. 537, South Christopher, NJ 19378</t>
  </si>
  <si>
    <t>Samantha Mathews</t>
  </si>
  <si>
    <t>samantha.mathews@apple.com</t>
  </si>
  <si>
    <t>(584)713-0094x0169</t>
  </si>
  <si>
    <t>31320 Phillip Roads Suite 920, Mendozaburgh, MA 23306</t>
  </si>
  <si>
    <t>Virginia James</t>
  </si>
  <si>
    <t>virginia.james@google.com</t>
  </si>
  <si>
    <t>338-650-2652</t>
  </si>
  <si>
    <t>051 Keith Views Suite 393, Kirbyburgh, NH 03114</t>
  </si>
  <si>
    <t>Alyssa Alexander</t>
  </si>
  <si>
    <t>alyssa.alexander@facebook.com</t>
  </si>
  <si>
    <t>(613)498-4471x7483</t>
  </si>
  <si>
    <t>863 Brian Village, New Kristiview, MO 22375</t>
  </si>
  <si>
    <t>Ronald Miller</t>
  </si>
  <si>
    <t>ronald.miller@apple.com</t>
  </si>
  <si>
    <t>81021 Daniels Flat, Ryantown, WA 33745</t>
  </si>
  <si>
    <t>Alexa Hunt</t>
  </si>
  <si>
    <t>alexa.hunt@facebook.com</t>
  </si>
  <si>
    <t>3342 Erickson Ports Suite 476, Paulfurt, UT 30512</t>
  </si>
  <si>
    <t>Donna Hernandez</t>
  </si>
  <si>
    <t>donna.hernandez@tesla.com</t>
  </si>
  <si>
    <t>+1-792-009-1407x550</t>
  </si>
  <si>
    <t>333 Bailey Squares Apt. 638, Jenniferland, NY 93172</t>
  </si>
  <si>
    <t>Andrew Deleon</t>
  </si>
  <si>
    <t>andrew.deleon@facebook.com</t>
  </si>
  <si>
    <t>001-243-408-0598</t>
  </si>
  <si>
    <t>451 Edward Squares, North Susanberg, MT 92130</t>
  </si>
  <si>
    <t>Sabrina Hendrix</t>
  </si>
  <si>
    <t>sabrina.hendrix@adobe.com</t>
  </si>
  <si>
    <t>96286 Russell Key Apt. 076, Lake Zachary, MA 33611</t>
  </si>
  <si>
    <t>Christina Hall</t>
  </si>
  <si>
    <t>christina.hall@microsoft.com</t>
  </si>
  <si>
    <t>+1-920-410-5799x9133</t>
  </si>
  <si>
    <t>7840 Young Shoal Suite 375, Wheelerburgh, WI 91370</t>
  </si>
  <si>
    <t>Andrew Brown</t>
  </si>
  <si>
    <t>andrew.brown@intel.com</t>
  </si>
  <si>
    <t>186-166-6199x875</t>
  </si>
  <si>
    <t>USCGC Lee, FPO AP 39574</t>
  </si>
  <si>
    <t>Patrick Brown</t>
  </si>
  <si>
    <t>patrick.brown@google.com</t>
  </si>
  <si>
    <t>001-262-308-4623x59113</t>
  </si>
  <si>
    <t>5533 Marissa Via, New Codytown, NV 21492</t>
  </si>
  <si>
    <t>Robert Ferrell</t>
  </si>
  <si>
    <t>robert.ferrell@apple.com</t>
  </si>
  <si>
    <t>+1-454-510-6155x4742</t>
  </si>
  <si>
    <t>645 Holmes Road Apt. 862, Davidside, IN 32677</t>
  </si>
  <si>
    <t>Rickey James</t>
  </si>
  <si>
    <t>rickey.james@google.com</t>
  </si>
  <si>
    <t>(796)663-2567x2643</t>
  </si>
  <si>
    <t>80753 Robin Fords Suite 743, West Richard, NJ 39668</t>
  </si>
  <si>
    <t>Claire Walsh</t>
  </si>
  <si>
    <t>claire.walsh@adobe.com</t>
  </si>
  <si>
    <t>797.725.7900</t>
  </si>
  <si>
    <t>42522 Walter Station, Maryside, DE 13686</t>
  </si>
  <si>
    <t>Julia Stephenson</t>
  </si>
  <si>
    <t>julia.stephenson@netflix.com</t>
  </si>
  <si>
    <t>8633 Carlos Crescent Suite 975, Heatherberg, WI 37861</t>
  </si>
  <si>
    <t>Amanda Jones</t>
  </si>
  <si>
    <t>amanda.jones@microsoft.com</t>
  </si>
  <si>
    <t>(023)155-2409x59625</t>
  </si>
  <si>
    <t>807 Wood Turnpike Apt. 366, Larryland, IN 33489</t>
  </si>
  <si>
    <t>John Braun</t>
  </si>
  <si>
    <t>john.braun@facebook.com</t>
  </si>
  <si>
    <t>168-174-6662x2724</t>
  </si>
  <si>
    <t>89488 Natasha Mountain Suite 357, Donaldmouth, TN 99442</t>
  </si>
  <si>
    <t>Hannah Smith</t>
  </si>
  <si>
    <t>hannah.smith@tesla.com</t>
  </si>
  <si>
    <t>37492 Sandoval Pines, East Courtneyside, WI 29385</t>
  </si>
  <si>
    <t>Michelle Waters</t>
  </si>
  <si>
    <t>michelle.waters@intel.com</t>
  </si>
  <si>
    <t>331-607-8224x990</t>
  </si>
  <si>
    <t>1076 Thomas Mount Suite 009, West Joyceport, TN 12439</t>
  </si>
  <si>
    <t>Wendy Greer</t>
  </si>
  <si>
    <t>wendy.greer@netflix.com</t>
  </si>
  <si>
    <t>(056)808-8299x560</t>
  </si>
  <si>
    <t>79617 Kathryn Summit Suite 181, Antoniofurt, NC 22782</t>
  </si>
  <si>
    <t>James Preston</t>
  </si>
  <si>
    <t>james.preston@microsoft.com</t>
  </si>
  <si>
    <t>770.339.6692x0912</t>
  </si>
  <si>
    <t>6221 Robert Unions, South Jeffrey, UT 34614</t>
  </si>
  <si>
    <t>Mark Smith</t>
  </si>
  <si>
    <t>mark.smith@amazon.com</t>
  </si>
  <si>
    <t>779 David Throughway Apt. 039, Port David, MI 41377</t>
  </si>
  <si>
    <t>Alexandra Mason</t>
  </si>
  <si>
    <t>alexandra.mason@amazon.com</t>
  </si>
  <si>
    <t>420.496.8263x923</t>
  </si>
  <si>
    <t>Unit 4610 Box 2216, DPO AE 89874</t>
  </si>
  <si>
    <t>Mary Reynolds</t>
  </si>
  <si>
    <t>mary.reynolds@amazon.com</t>
  </si>
  <si>
    <t>064-756-2214x8530</t>
  </si>
  <si>
    <t>5677 Chelsea Mountain Apt. 489, West Jessica, TN 62092</t>
  </si>
  <si>
    <t>Frederick Valdez</t>
  </si>
  <si>
    <t>frederick.valdez@amazon.com</t>
  </si>
  <si>
    <t>001-971-748-0248x89870</t>
  </si>
  <si>
    <t>7057 Rodriguez Tunnel, East Josephberg, OK 10798</t>
  </si>
  <si>
    <t>Alicia Hess</t>
  </si>
  <si>
    <t>alicia.hess@intel.com</t>
  </si>
  <si>
    <t>055.045.7709</t>
  </si>
  <si>
    <t>PSC 6990, Box 0818, APO AP 46128</t>
  </si>
  <si>
    <t>Michele Franklin</t>
  </si>
  <si>
    <t>michele.franklin@adobe.com</t>
  </si>
  <si>
    <t>001-279-197-6487x9965</t>
  </si>
  <si>
    <t>1224 Baird Forks Apt. 417, East Frankhaven, WI 06002</t>
  </si>
  <si>
    <t>Catherine Ruiz</t>
  </si>
  <si>
    <t>catherine.ruiz@apple.com</t>
  </si>
  <si>
    <t>001-678-734-6323x344</t>
  </si>
  <si>
    <t>99815 Porter Plain Apt. 139, Owensville, CO 51877</t>
  </si>
  <si>
    <t>Alexander Powers</t>
  </si>
  <si>
    <t>alexander.powers@microsoft.com</t>
  </si>
  <si>
    <t>229 Singh Hill, New Christine, MS 33850</t>
  </si>
  <si>
    <t>Jessica Allen</t>
  </si>
  <si>
    <t>jessica.allen@amazon.com</t>
  </si>
  <si>
    <t>389-065-1894x27412</t>
  </si>
  <si>
    <t>USNV Smith, FPO AA 47154</t>
  </si>
  <si>
    <t>Christina Kennedy</t>
  </si>
  <si>
    <t>christina.kennedy@apple.com</t>
  </si>
  <si>
    <t>09718 Ward Stream, Larryville, LA 19639</t>
  </si>
  <si>
    <t>Joel Dawson</t>
  </si>
  <si>
    <t>joel.dawson@google.com</t>
  </si>
  <si>
    <t>23517 Christopher Harbor, East Emma, NC 66471</t>
  </si>
  <si>
    <t>Beverly Leonard</t>
  </si>
  <si>
    <t>beverly.leonard@ibm.com</t>
  </si>
  <si>
    <t>+1-523-581-5384x190</t>
  </si>
  <si>
    <t>98423 Alexis Mews Suite 080, Lake Ronald, MN 15909</t>
  </si>
  <si>
    <t>Michael Richards</t>
  </si>
  <si>
    <t>michael.richards@amazon.com</t>
  </si>
  <si>
    <t>001-700-591-1299</t>
  </si>
  <si>
    <t>21671 Carrie Motorway, Port Denisefurt, SC 58685</t>
  </si>
  <si>
    <t>Deborah Bowers</t>
  </si>
  <si>
    <t>deborah.bowers@tesla.com</t>
  </si>
  <si>
    <t>(635)479-7124</t>
  </si>
  <si>
    <t>267 Young Via, Smithburgh, AL 42360</t>
  </si>
  <si>
    <t>Melody Shelton</t>
  </si>
  <si>
    <t>melody.shelton@ibm.com</t>
  </si>
  <si>
    <t>(958)593-4822x094</t>
  </si>
  <si>
    <t>726 Harvey Center, South Frank, NJ 89779</t>
  </si>
  <si>
    <t>Lucas Romero</t>
  </si>
  <si>
    <t>lucas.romero@google.com</t>
  </si>
  <si>
    <t>164.563.6935x52244</t>
  </si>
  <si>
    <t>27250 Kirby Parks, Fosterchester, AZ 66093</t>
  </si>
  <si>
    <t>Mrs. Kathryn Smith</t>
  </si>
  <si>
    <t>mrs..kathryn.smith@netflix.com</t>
  </si>
  <si>
    <t>906.561.6253x3384</t>
  </si>
  <si>
    <t>570 Maria Crest, Summersport, AR 08295</t>
  </si>
  <si>
    <t>Donna Gilbert</t>
  </si>
  <si>
    <t>donna.gilbert@netflix.com</t>
  </si>
  <si>
    <t>(988)722-2827x860</t>
  </si>
  <si>
    <t>810 Cook Course, New James, IL 82088</t>
  </si>
  <si>
    <t>Traci Collins</t>
  </si>
  <si>
    <t>traci.collins@intel.com</t>
  </si>
  <si>
    <t>049.055.4594x85379</t>
  </si>
  <si>
    <t>704 John Forge, Raymondhaven, VT 30061</t>
  </si>
  <si>
    <t>Christopher Hancock</t>
  </si>
  <si>
    <t>christopher.hancock@apple.com</t>
  </si>
  <si>
    <t>+1-969-929-2794x7516</t>
  </si>
  <si>
    <t>1319 Barnes Square, Jaredchester, WY 83718</t>
  </si>
  <si>
    <t>Felicia Pittman</t>
  </si>
  <si>
    <t>felicia.pittman@microsoft.com</t>
  </si>
  <si>
    <t>191-986-2486</t>
  </si>
  <si>
    <t>37206 Bennett Locks, Lake Anthonyberg, ME 11185</t>
  </si>
  <si>
    <t>Monica Clements</t>
  </si>
  <si>
    <t>monica.clements@adobe.com</t>
  </si>
  <si>
    <t>+1-839-098-9765x6278</t>
  </si>
  <si>
    <t>92387 Williams Islands Apt. 850, Benjamintown, ID 08805</t>
  </si>
  <si>
    <t>Joseph Rosales</t>
  </si>
  <si>
    <t>joseph.rosales@ibm.com</t>
  </si>
  <si>
    <t>487-632-4057</t>
  </si>
  <si>
    <t>295 Bradley Harbor, Halefort, CO 40695</t>
  </si>
  <si>
    <t>Craig West</t>
  </si>
  <si>
    <t>craig.west@facebook.com</t>
  </si>
  <si>
    <t>001-306-399-3663</t>
  </si>
  <si>
    <t>Unit 0988 Box 7122, DPO AE 08041</t>
  </si>
  <si>
    <t>Amy Williamson</t>
  </si>
  <si>
    <t>amy.williamson@microsoft.com</t>
  </si>
  <si>
    <t>476-402-1916</t>
  </si>
  <si>
    <t>1501 Amanda Forks Apt. 096, South Brentfort, NM 49718</t>
  </si>
  <si>
    <t>Desiree Ingram</t>
  </si>
  <si>
    <t>desiree.ingram@facebook.com</t>
  </si>
  <si>
    <t>001-834-784-8762x2698</t>
  </si>
  <si>
    <t>188 Christine Brook Suite 877, Lake Brandon, MN 94250</t>
  </si>
  <si>
    <t>Christine Richmond</t>
  </si>
  <si>
    <t>christine.richmond@microsoft.com</t>
  </si>
  <si>
    <t>307-349-5212x02778</t>
  </si>
  <si>
    <t>02639 Sanders Walk, Priceton, RI 59202</t>
  </si>
  <si>
    <t>Eric Martinez</t>
  </si>
  <si>
    <t>eric.martinez@facebook.com</t>
  </si>
  <si>
    <t>912.218.5732</t>
  </si>
  <si>
    <t>USCGC Baker, FPO AE 23182</t>
  </si>
  <si>
    <t>Mr. Gregory Martin PhD</t>
  </si>
  <si>
    <t>mr..gregory.martin.phd@netflix.com</t>
  </si>
  <si>
    <t>(729)243-1253x51988</t>
  </si>
  <si>
    <t>03603 Victoria Freeway Apt. 466, East Alice, MO 03647</t>
  </si>
  <si>
    <t>Bill Robertson</t>
  </si>
  <si>
    <t>bill.robertson@intel.com</t>
  </si>
  <si>
    <t>078.040.7990</t>
  </si>
  <si>
    <t>908 Jennifer Port, Lake Zachary, AL 46207</t>
  </si>
  <si>
    <t>Angela Peterson</t>
  </si>
  <si>
    <t>angela.peterson@ibm.com</t>
  </si>
  <si>
    <t>(880)868-0711x5182</t>
  </si>
  <si>
    <t>USS Shelton, FPO AE 82775</t>
  </si>
  <si>
    <t>Phillip Taylor</t>
  </si>
  <si>
    <t>phillip.taylor@netflix.com</t>
  </si>
  <si>
    <t>+1-155-754-1662x00216</t>
  </si>
  <si>
    <t>34418 Barbara Garden, Oconnellstad, WY 93695</t>
  </si>
  <si>
    <t>Kelly Smith</t>
  </si>
  <si>
    <t>kelly.smith@tesla.com</t>
  </si>
  <si>
    <t>Unit 8859 Box 0824, DPO AE 13173</t>
  </si>
  <si>
    <t>Theresa Johns</t>
  </si>
  <si>
    <t>theresa.johns@tesla.com</t>
  </si>
  <si>
    <t>46790 Johnson Way, Port Alejandrofurt, MI 78262</t>
  </si>
  <si>
    <t>Shane Jones</t>
  </si>
  <si>
    <t>shane.jones@intel.com</t>
  </si>
  <si>
    <t>097.288.7188x76752</t>
  </si>
  <si>
    <t>740 Adrian Throughway, Port Katherinefort, AZ 08612</t>
  </si>
  <si>
    <t>Carrie Roberson</t>
  </si>
  <si>
    <t>carrie.roberson@netflix.com</t>
  </si>
  <si>
    <t>+1-412-533-2944x6584</t>
  </si>
  <si>
    <t>69781 Carol Flats, Ramosmouth, AR 31466</t>
  </si>
  <si>
    <t>Kelly Brooks</t>
  </si>
  <si>
    <t>kelly.brooks@microsoft.com</t>
  </si>
  <si>
    <t>133-037-7550</t>
  </si>
  <si>
    <t>40385 Jerry Hollow, Kristinestad, AL 55177</t>
  </si>
  <si>
    <t>Eileen Anderson</t>
  </si>
  <si>
    <t>eileen.anderson@adobe.com</t>
  </si>
  <si>
    <t>778.714.7499</t>
  </si>
  <si>
    <t>Unit 1739 Box 9024, DPO AA 70586</t>
  </si>
  <si>
    <t>Frank Camacho</t>
  </si>
  <si>
    <t>frank.camacho@ibm.com</t>
  </si>
  <si>
    <t>663 Wright Street, Reynoldsside, CO 86081</t>
  </si>
  <si>
    <t>Hannah Ward</t>
  </si>
  <si>
    <t>hannah.ward@amazon.com</t>
  </si>
  <si>
    <t>+1-768-495-0287x6673</t>
  </si>
  <si>
    <t>7865 Phillip Heights, North Derek, KY 94708</t>
  </si>
  <si>
    <t>Timothy Moore</t>
  </si>
  <si>
    <t>timothy.moore@netflix.com</t>
  </si>
  <si>
    <t>001-661-258-7575</t>
  </si>
  <si>
    <t>9685 Sue Ville, North Matthew, CO 30518</t>
  </si>
  <si>
    <t>Lisa Lambert</t>
  </si>
  <si>
    <t>lisa.lambert@intel.com</t>
  </si>
  <si>
    <t>+1-741-629-9089x33346</t>
  </si>
  <si>
    <t>212 Nguyen Glens, Whitneyfort, KS 85628</t>
  </si>
  <si>
    <t>Lauren Carpenter</t>
  </si>
  <si>
    <t>lauren.carpenter@google.com</t>
  </si>
  <si>
    <t>846.667.8326x04607</t>
  </si>
  <si>
    <t>56608 Nicholson Mount, West Dennisland, UT 11522</t>
  </si>
  <si>
    <t>John Nash</t>
  </si>
  <si>
    <t>john.nash@google.com</t>
  </si>
  <si>
    <t>700-567-2895x7567</t>
  </si>
  <si>
    <t>627 Tracy Route Apt. 772, Nicholefort, GA 19945</t>
  </si>
  <si>
    <t>Brad Sellers</t>
  </si>
  <si>
    <t>brad.sellers@amazon.com</t>
  </si>
  <si>
    <t>277-283-5316x066</t>
  </si>
  <si>
    <t>5335 Jennifer Place Suite 957, Lake Mariatown, GA 24214</t>
  </si>
  <si>
    <t>Diana Morrison</t>
  </si>
  <si>
    <t>diana.morrison@adobe.com</t>
  </si>
  <si>
    <t>461-700-3489x3947</t>
  </si>
  <si>
    <t>97862 Erik Inlet Suite 880, Omarfurt, NE 65160</t>
  </si>
  <si>
    <t>George Lopez</t>
  </si>
  <si>
    <t>george.lopez@apple.com</t>
  </si>
  <si>
    <t>001-368-605-0508x3393</t>
  </si>
  <si>
    <t>75552 Pineda Valleys Suite 705, Lake Julia, OK 94984</t>
  </si>
  <si>
    <t>Vincent Griffin</t>
  </si>
  <si>
    <t>vincent.griffin@facebook.com</t>
  </si>
  <si>
    <t>(755)311-7748x44542</t>
  </si>
  <si>
    <t>4417 John Alley Apt. 129, South Kyleborough, IA 78285</t>
  </si>
  <si>
    <t>Brian Williams</t>
  </si>
  <si>
    <t>brian.williams@tesla.com</t>
  </si>
  <si>
    <t>+1-251-775-1619x375</t>
  </si>
  <si>
    <t>129 Autumn Burgs Suite 259, Floresburgh, IA 60589</t>
  </si>
  <si>
    <t>Charles Carpenter</t>
  </si>
  <si>
    <t>charles.carpenter@google.com</t>
  </si>
  <si>
    <t>(122)152-6514</t>
  </si>
  <si>
    <t>948 Campbell Turnpike, Port Laurenberg, CA 66893</t>
  </si>
  <si>
    <t>Daniel Jenkins</t>
  </si>
  <si>
    <t>daniel.jenkins@intel.com</t>
  </si>
  <si>
    <t>001-599-021-6135x1740</t>
  </si>
  <si>
    <t>31537 Miller Curve, East Trevorshire, CO 68897</t>
  </si>
  <si>
    <t>Kenneth Singh</t>
  </si>
  <si>
    <t>kenneth.singh@apple.com</t>
  </si>
  <si>
    <t>(485)375-4401x31337</t>
  </si>
  <si>
    <t>8866 Michael Junctions, East Lisaville, WV 08921</t>
  </si>
  <si>
    <t>Ricardo Martinez</t>
  </si>
  <si>
    <t>ricardo.martinez@microsoft.com</t>
  </si>
  <si>
    <t>829-669-4081x2361</t>
  </si>
  <si>
    <t>3076 Lee Crescent, Mccallburgh, LA 50121</t>
  </si>
  <si>
    <t>Robert Lewis</t>
  </si>
  <si>
    <t>robert.lewis@facebook.com</t>
  </si>
  <si>
    <t>673-190-7414x6010</t>
  </si>
  <si>
    <t>544 Hawkins Stravenue Suite 326, East Brandonside, NC 29341</t>
  </si>
  <si>
    <t>Joanna Rios</t>
  </si>
  <si>
    <t>joanna.rios@tesla.com</t>
  </si>
  <si>
    <t>262-335-4491x214</t>
  </si>
  <si>
    <t>Unit 2607 Box 8132, DPO AE 85779</t>
  </si>
  <si>
    <t>James Todd</t>
  </si>
  <si>
    <t>james.todd@google.com</t>
  </si>
  <si>
    <t>(074)010-6266</t>
  </si>
  <si>
    <t>0499 Alexandria Extensions, Smithland, MT 64521</t>
  </si>
  <si>
    <t>Olivia White</t>
  </si>
  <si>
    <t>olivia.white@adobe.com</t>
  </si>
  <si>
    <t>PSC 1465, Box 8185, APO AE 16560</t>
  </si>
  <si>
    <t>Emily Spence</t>
  </si>
  <si>
    <t>emily.spence@ibm.com</t>
  </si>
  <si>
    <t>262.327.3573x65139</t>
  </si>
  <si>
    <t>53714 Katherine Circles Suite 236, South Daniel, NJ 79436</t>
  </si>
  <si>
    <t>Marie Robinson</t>
  </si>
  <si>
    <t>marie.robinson@apple.com</t>
  </si>
  <si>
    <t>186.158.8206x11205</t>
  </si>
  <si>
    <t>583 Young Manor, North Chelsea, NM 85377</t>
  </si>
  <si>
    <t>Jill Carter</t>
  </si>
  <si>
    <t>jill.carter@facebook.com</t>
  </si>
  <si>
    <t>124.195.4059x73908</t>
  </si>
  <si>
    <t>1642 Mitchell Springs Suite 818, Dodsonville, TX 38547</t>
  </si>
  <si>
    <t>Dawn Hess</t>
  </si>
  <si>
    <t>dawn.hess@netflix.com</t>
  </si>
  <si>
    <t>(480)821-5607x378</t>
  </si>
  <si>
    <t>4657 Francis Key Suite 709, East Tara, CO 02890</t>
  </si>
  <si>
    <t>Devin Gray</t>
  </si>
  <si>
    <t>devin.gray@google.com</t>
  </si>
  <si>
    <t>(139)790-4236x721</t>
  </si>
  <si>
    <t>31365 Scott Overpass Suite 931, North Richard, IL 21564</t>
  </si>
  <si>
    <t>Brenda Gilbert</t>
  </si>
  <si>
    <t>brenda.gilbert@adobe.com</t>
  </si>
  <si>
    <t>665 Margaret Dale, Lake Stefanie, DE 89618</t>
  </si>
  <si>
    <t>Felicia Garcia</t>
  </si>
  <si>
    <t>felicia.garcia@intel.com</t>
  </si>
  <si>
    <t>350.238.5735x218</t>
  </si>
  <si>
    <t>016 Kelly Roads, Port Jason, LA 70442</t>
  </si>
  <si>
    <t>Darrell Noble</t>
  </si>
  <si>
    <t>darrell.noble@microsoft.com</t>
  </si>
  <si>
    <t>001-502-419-2251x15954</t>
  </si>
  <si>
    <t>123 Carr Road, Lake Mckenzieland, UT 81917</t>
  </si>
  <si>
    <t>David Hawkins</t>
  </si>
  <si>
    <t>david.hawkins@intel.com</t>
  </si>
  <si>
    <t>417.968.8650</t>
  </si>
  <si>
    <t>130 Christine Oval Suite 277, Lake Sarah, MS 50773</t>
  </si>
  <si>
    <t>Patrick Edwards</t>
  </si>
  <si>
    <t>patrick.edwards@microsoft.com</t>
  </si>
  <si>
    <t>001-739-436-4139x1247</t>
  </si>
  <si>
    <t>Unit 3348 Box 5135, DPO AP 28133</t>
  </si>
  <si>
    <t>Donald Robinson</t>
  </si>
  <si>
    <t>donald.robinson@ibm.com</t>
  </si>
  <si>
    <t>PSC 1803, Box 8057, APO AE 23305</t>
  </si>
  <si>
    <t>Alex Ford</t>
  </si>
  <si>
    <t>alex.ford@apple.com</t>
  </si>
  <si>
    <t>470 Nunez Extension Suite 041, New Dianastad, WI 26503</t>
  </si>
  <si>
    <t>Aaron Fox</t>
  </si>
  <si>
    <t>aaron.fox@netflix.com</t>
  </si>
  <si>
    <t>278.558.1035x55137</t>
  </si>
  <si>
    <t>2584 Tracy Vista Suite 403, Davidsonmouth, VT 88769</t>
  </si>
  <si>
    <t>Gabriel Parrish</t>
  </si>
  <si>
    <t>gabriel.parrish@apple.com</t>
  </si>
  <si>
    <t>(833)554-6432x993</t>
  </si>
  <si>
    <t>668 Watkins Grove Suite 900, Dunnmouth, MN 86618</t>
  </si>
  <si>
    <t>Evan Hoover</t>
  </si>
  <si>
    <t>evan.hoover@apple.com</t>
  </si>
  <si>
    <t>001-304-468-0091</t>
  </si>
  <si>
    <t>888 Robin Estates, West Bethanyfort, ID 19138</t>
  </si>
  <si>
    <t>Nicholas Wolf</t>
  </si>
  <si>
    <t>nicholas.wolf@ibm.com</t>
  </si>
  <si>
    <t>402-776-8798x47180</t>
  </si>
  <si>
    <t>1983 Bates Rest Apt. 263, West Ryan, TX 95295</t>
  </si>
  <si>
    <t>michael.williams@adobe.com</t>
  </si>
  <si>
    <t>001-506-822-0587x31474</t>
  </si>
  <si>
    <t>2956 Jacqueline Club Suite 544, Amberberg, FL 71803</t>
  </si>
  <si>
    <t>Lisa Preston</t>
  </si>
  <si>
    <t>lisa.preston@ibm.com</t>
  </si>
  <si>
    <t>(747)355-4790x80798</t>
  </si>
  <si>
    <t>USNS Murphy, FPO AA 24523</t>
  </si>
  <si>
    <t>Alexander Diaz</t>
  </si>
  <si>
    <t>alexander.diaz@amazon.com</t>
  </si>
  <si>
    <t>175-665-9711x1969</t>
  </si>
  <si>
    <t>631 Franco Route Apt. 792, Port Kevinborough, NH 71005</t>
  </si>
  <si>
    <t>Lori Vasquez</t>
  </si>
  <si>
    <t>lori.vasquez@adobe.com</t>
  </si>
  <si>
    <t>USNS Medina, FPO AP 33849</t>
  </si>
  <si>
    <t>Megan Mcdonald</t>
  </si>
  <si>
    <t>megan.mcdonald@google.com</t>
  </si>
  <si>
    <t>001-306-897-4564x601</t>
  </si>
  <si>
    <t>PSC 4707, Box 0844, APO AE 77488</t>
  </si>
  <si>
    <t>Colton Anderson</t>
  </si>
  <si>
    <t>colton.anderson@facebook.com</t>
  </si>
  <si>
    <t>865-614-8689</t>
  </si>
  <si>
    <t>4208 Cox Villages, Harringtonfurt, DC 40420</t>
  </si>
  <si>
    <t>Cory Sullivan</t>
  </si>
  <si>
    <t>cory.sullivan@netflix.com</t>
  </si>
  <si>
    <t>(984)132-5601x5564</t>
  </si>
  <si>
    <t>21241 Brock Viaduct, East Miguel, OH 92966</t>
  </si>
  <si>
    <t>Donna Rogers</t>
  </si>
  <si>
    <t>donna.rogers@netflix.com</t>
  </si>
  <si>
    <t>+1-289-759-0259x14328</t>
  </si>
  <si>
    <t>3662 Park Plaza, Port Christopherport, UT 91899</t>
  </si>
  <si>
    <t>Jamie James</t>
  </si>
  <si>
    <t>jamie.james@ibm.com</t>
  </si>
  <si>
    <t>(860)871-0225x0348</t>
  </si>
  <si>
    <t>242 Karen Keys, Chelseamouth, MA 98150</t>
  </si>
  <si>
    <t>Michael Arellano</t>
  </si>
  <si>
    <t>michael.arellano@apple.com</t>
  </si>
  <si>
    <t>(282)728-2632x31109</t>
  </si>
  <si>
    <t>238 Jackson Points Apt. 104, Lake Kathleenbury, ID 13683</t>
  </si>
  <si>
    <t>Brenda Gordon</t>
  </si>
  <si>
    <t>brenda.gordon@microsoft.com</t>
  </si>
  <si>
    <t>001-940-162-1143x7644</t>
  </si>
  <si>
    <t>04107 Boyd Ranch, Whitneyshire, AK 98534</t>
  </si>
  <si>
    <t>Fred Horne</t>
  </si>
  <si>
    <t>fred.horne@google.com</t>
  </si>
  <si>
    <t>1370 Doris Route Suite 467, East Angela, TX 95341</t>
  </si>
  <si>
    <t>Adam Harris</t>
  </si>
  <si>
    <t>adam.harris@google.com</t>
  </si>
  <si>
    <t>(550)771-3531</t>
  </si>
  <si>
    <t>711 Kevin Alley Apt. 247, North Justin, VA 84585</t>
  </si>
  <si>
    <t>Mary Terry</t>
  </si>
  <si>
    <t>mary.terry@ibm.com</t>
  </si>
  <si>
    <t>8123 Miles Underpass, Westland, ME 69155</t>
  </si>
  <si>
    <t>Gregory Salinas</t>
  </si>
  <si>
    <t>gregory.salinas@tesla.com</t>
  </si>
  <si>
    <t>001-287-278-9737x509</t>
  </si>
  <si>
    <t>6088 Sherry Field, Lake Erikborough, CT 75446</t>
  </si>
  <si>
    <t>William Mcdaniel</t>
  </si>
  <si>
    <t>william.mcdaniel@apple.com</t>
  </si>
  <si>
    <t>(428)005-7479x8579</t>
  </si>
  <si>
    <t>27839 Mcclain Villages, Jillburgh, AR 85287</t>
  </si>
  <si>
    <t>Ian Trevino</t>
  </si>
  <si>
    <t>ian.trevino@amazon.com</t>
  </si>
  <si>
    <t>001-918-657-2105x206</t>
  </si>
  <si>
    <t>4826 Schultz Fields Suite 272, Johnsonview, NJ 35129</t>
  </si>
  <si>
    <t>Sarah Bender</t>
  </si>
  <si>
    <t>sarah.bender@amazon.com</t>
  </si>
  <si>
    <t>+1-343-138-5643x64497</t>
  </si>
  <si>
    <t>1253 Vargas Lane Apt. 599, Roachfurt, NV 00972</t>
  </si>
  <si>
    <t>David Garcia</t>
  </si>
  <si>
    <t>david.garcia@amazon.com</t>
  </si>
  <si>
    <t>(393)653-5667x575</t>
  </si>
  <si>
    <t>66147 Nguyen Mission, Laurenshire, ND 99531</t>
  </si>
  <si>
    <t>Amanda Glover</t>
  </si>
  <si>
    <t>amanda.glover@facebook.com</t>
  </si>
  <si>
    <t>001-415-957-0263</t>
  </si>
  <si>
    <t>586 Mata Mills, Geraldstad, NE 51836</t>
  </si>
  <si>
    <t>George Johnson</t>
  </si>
  <si>
    <t>george.johnson@intel.com</t>
  </si>
  <si>
    <t>PSC 9466, Box 9170, APO AP 51863</t>
  </si>
  <si>
    <t>Daniel Clay</t>
  </si>
  <si>
    <t>daniel.clay@netflix.com</t>
  </si>
  <si>
    <t>001-817-963-0366x98761</t>
  </si>
  <si>
    <t>522 Sanchez Causeway, Port Aaronshire, OK 26253</t>
  </si>
  <si>
    <t>Rebecca Martin</t>
  </si>
  <si>
    <t>rebecca.martin@amazon.com</t>
  </si>
  <si>
    <t>479-472-5834</t>
  </si>
  <si>
    <t>3205 Hunter Highway Apt. 297, Jordanmouth, MS 63883</t>
  </si>
  <si>
    <t>Brian Jenkins</t>
  </si>
  <si>
    <t>brian.jenkins@adobe.com</t>
  </si>
  <si>
    <t>(836)491-7102x1993</t>
  </si>
  <si>
    <t>199 Smith Alley, South Jasmine, PA 84279</t>
  </si>
  <si>
    <t>Amy Stokes</t>
  </si>
  <si>
    <t>amy.stokes@amazon.com</t>
  </si>
  <si>
    <t>217.057.1490</t>
  </si>
  <si>
    <t>88807 Andrea Hollow, Birdburgh, AR 39279</t>
  </si>
  <si>
    <t>Holly Campbell</t>
  </si>
  <si>
    <t>holly.campbell@intel.com</t>
  </si>
  <si>
    <t>001-767-059-7230x2056</t>
  </si>
  <si>
    <t>187 Nixon View Suite 598, New Justinchester, GA 61557</t>
  </si>
  <si>
    <t>Mrs. Lindsay Andrade</t>
  </si>
  <si>
    <t>mrs..lindsay.andrade@amazon.com</t>
  </si>
  <si>
    <t>934.745.5450</t>
  </si>
  <si>
    <t>48149 Amanda Mountain Apt. 096, South Alex, MD 61199</t>
  </si>
  <si>
    <t>Benjamin Neal</t>
  </si>
  <si>
    <t>benjamin.neal@ibm.com</t>
  </si>
  <si>
    <t>(415)587-7721x19505</t>
  </si>
  <si>
    <t>517 Lisa Plaza Suite 910, Lake Monicaton, WV 39259</t>
  </si>
  <si>
    <t>Alyssa Thornton</t>
  </si>
  <si>
    <t>alyssa.thornton@microsoft.com</t>
  </si>
  <si>
    <t>280-932-2810x32379</t>
  </si>
  <si>
    <t>PSC 3863, Box 4611, APO AA 53754</t>
  </si>
  <si>
    <t>Alicia Bennett</t>
  </si>
  <si>
    <t>alicia.bennett@apple.com</t>
  </si>
  <si>
    <t>(460)151-3927x23783</t>
  </si>
  <si>
    <t>14237 Steven Prairie Apt. 159, New Jasmine, MN 78180</t>
  </si>
  <si>
    <t>Stephanie Payne</t>
  </si>
  <si>
    <t>stephanie.payne@microsoft.com</t>
  </si>
  <si>
    <t>001-547-187-2994x987</t>
  </si>
  <si>
    <t>678 Meadows Lakes, Dawsonchester, FL 11120</t>
  </si>
  <si>
    <t>Amy Ramos</t>
  </si>
  <si>
    <t>amy.ramos@amazon.com</t>
  </si>
  <si>
    <t>254.233.7648x2221</t>
  </si>
  <si>
    <t>3220 Clark Junctions, Dianeland, NC 43566</t>
  </si>
  <si>
    <t>Samuel Crawford</t>
  </si>
  <si>
    <t>samuel.crawford@google.com</t>
  </si>
  <si>
    <t>001-521-529-6021</t>
  </si>
  <si>
    <t>81341 Hubbard Hill, Jacksonmouth, MT 17008</t>
  </si>
  <si>
    <t>Edward Moore</t>
  </si>
  <si>
    <t>edward.moore@tesla.com</t>
  </si>
  <si>
    <t>(537)868-0556x0902</t>
  </si>
  <si>
    <t>20000 Andrew Avenue Apt. 708, Lake Robert, UT 25776</t>
  </si>
  <si>
    <t>Elaine Pitts</t>
  </si>
  <si>
    <t>elaine.pitts@netflix.com</t>
  </si>
  <si>
    <t>72285 Stevens Turnpike, Danielton, UT 70780</t>
  </si>
  <si>
    <t>Adrian Thompson</t>
  </si>
  <si>
    <t>adrian.thompson@apple.com</t>
  </si>
  <si>
    <t>599.573.5564x14599</t>
  </si>
  <si>
    <t>3764 Kimberly Run, Rogersstad, HI 33587</t>
  </si>
  <si>
    <t>April Vincent</t>
  </si>
  <si>
    <t>april.vincent@amazon.com</t>
  </si>
  <si>
    <t>135-152-1464</t>
  </si>
  <si>
    <t>1098 Watson Mountains, Mckeeside, VA 46256</t>
  </si>
  <si>
    <t>Jamie Martinez</t>
  </si>
  <si>
    <t>jamie.martinez@apple.com</t>
  </si>
  <si>
    <t>(966)570-6103</t>
  </si>
  <si>
    <t>PSC 1647, Box 5381, APO AA 84323</t>
  </si>
  <si>
    <t>Miranda Wilson</t>
  </si>
  <si>
    <t>miranda.wilson@microsoft.com</t>
  </si>
  <si>
    <t>305-696-9522</t>
  </si>
  <si>
    <t>9396 Lee Isle, Port Ashley, NH 65551</t>
  </si>
  <si>
    <t>Lori Roberts</t>
  </si>
  <si>
    <t>lori.roberts@amazon.com</t>
  </si>
  <si>
    <t>001-959-199-4133</t>
  </si>
  <si>
    <t>8692 Karen Coves, Sabrinamouth, HI 11999</t>
  </si>
  <si>
    <t>Timothy Payne</t>
  </si>
  <si>
    <t>timothy.payne@google.com</t>
  </si>
  <si>
    <t>001-454-464-8847x183</t>
  </si>
  <si>
    <t>USNS Young, FPO AA 72241</t>
  </si>
  <si>
    <t>Teresa Howell</t>
  </si>
  <si>
    <t>teresa.howell@google.com</t>
  </si>
  <si>
    <t>516-420-3657</t>
  </si>
  <si>
    <t>PSC 9432, Box 1431, APO AA 22696</t>
  </si>
  <si>
    <t>Lisa Shaw</t>
  </si>
  <si>
    <t>lisa.shaw@facebook.com</t>
  </si>
  <si>
    <t>(228)874-9682x35674</t>
  </si>
  <si>
    <t>1094 Pennington Mountain Apt. 041, Port Matthew, IL 72456</t>
  </si>
  <si>
    <t>Tanya Compton</t>
  </si>
  <si>
    <t>tanya.compton@netflix.com</t>
  </si>
  <si>
    <t>349-728-8949x014</t>
  </si>
  <si>
    <t>Unit 0833 Box 8528, DPO AA 08442</t>
  </si>
  <si>
    <t>Julie Curtis</t>
  </si>
  <si>
    <t>julie.curtis@microsoft.com</t>
  </si>
  <si>
    <t>420 Brooke Ferry Suite 386, Lake Samuelstad, GA 92045</t>
  </si>
  <si>
    <t>Ryan Robinson</t>
  </si>
  <si>
    <t>ryan.robinson@amazon.com</t>
  </si>
  <si>
    <t>+1-926-310-0879x589</t>
  </si>
  <si>
    <t>001 Alvarez Station Suite 321, Johnsontown, AZ 92747</t>
  </si>
  <si>
    <t>Barbara Myers</t>
  </si>
  <si>
    <t>barbara.myers@ibm.com</t>
  </si>
  <si>
    <t>963.257.1164</t>
  </si>
  <si>
    <t>216 Fernandez Underpass Apt. 175, Pruittborough, WY 53203</t>
  </si>
  <si>
    <t>michael.smith@netflix.com</t>
  </si>
  <si>
    <t>(266)138-0532</t>
  </si>
  <si>
    <t>416 Nelson Pike, Port Ashleyborough, NH 62723</t>
  </si>
  <si>
    <t>Harry Haynes</t>
  </si>
  <si>
    <t>harry.haynes@facebook.com</t>
  </si>
  <si>
    <t>(601)991-9311x87579</t>
  </si>
  <si>
    <t>583 Mooney Stream Suite 208, Allenland, AK 71414</t>
  </si>
  <si>
    <t>Candace Gutierrez</t>
  </si>
  <si>
    <t>candace.gutierrez@intel.com</t>
  </si>
  <si>
    <t>001-345-767-4788x43565</t>
  </si>
  <si>
    <t>6253 Allison Springs, South Garyfort, WY 15841</t>
  </si>
  <si>
    <t>Gary Myers</t>
  </si>
  <si>
    <t>gary.myers@google.com</t>
  </si>
  <si>
    <t>636-769-8228</t>
  </si>
  <si>
    <t>78895 Danielle Villages Suite 074, East Maria, PA 35320</t>
  </si>
  <si>
    <t>Jason Cole</t>
  </si>
  <si>
    <t>jason.cole@intel.com</t>
  </si>
  <si>
    <t>001-854-481-1239x66545</t>
  </si>
  <si>
    <t>Unit 5832 Box 4266, DPO AP 75313</t>
  </si>
  <si>
    <t>Thomas Glass</t>
  </si>
  <si>
    <t>thomas.glass@netflix.com</t>
  </si>
  <si>
    <t>(058)007-1042</t>
  </si>
  <si>
    <t>75315 Bradshaw Mount Apt. 950, East Martha, LA 16573</t>
  </si>
  <si>
    <t>Angela Brown</t>
  </si>
  <si>
    <t>angela.brown@google.com</t>
  </si>
  <si>
    <t>(821)638-8631</t>
  </si>
  <si>
    <t>72438 Troy Pike, South Theresafurt, MI 11958</t>
  </si>
  <si>
    <t>Jonathan Allen</t>
  </si>
  <si>
    <t>jonathan.allen@apple.com</t>
  </si>
  <si>
    <t>9962 Lewis Mountains, Carterport, IA 29061</t>
  </si>
  <si>
    <t>Stephanie Phillips</t>
  </si>
  <si>
    <t>stephanie.phillips@google.com</t>
  </si>
  <si>
    <t>(277)495-1872</t>
  </si>
  <si>
    <t>USCGC Mercer, FPO AE 19885</t>
  </si>
  <si>
    <t>Katie Anderson</t>
  </si>
  <si>
    <t>katie.anderson@ibm.com</t>
  </si>
  <si>
    <t>224.718.5323x77558</t>
  </si>
  <si>
    <t>715 David Estates, Richardshire, FL 00940</t>
  </si>
  <si>
    <t>Craig Choi</t>
  </si>
  <si>
    <t>craig.choi@intel.com</t>
  </si>
  <si>
    <t>001-890-190-0902</t>
  </si>
  <si>
    <t>49859 Michael Burgs, Michaelchester, CO 84013</t>
  </si>
  <si>
    <t>Michelle Smith</t>
  </si>
  <si>
    <t>michelle.smith@facebook.com</t>
  </si>
  <si>
    <t>(737)578-8385x674</t>
  </si>
  <si>
    <t>55662 Ramirez Corners, Woodsmouth, KS 87945</t>
  </si>
  <si>
    <t>Katie Hamilton</t>
  </si>
  <si>
    <t>katie.hamilton@amazon.com</t>
  </si>
  <si>
    <t>+1-369-334-1613x6934</t>
  </si>
  <si>
    <t>0191 Chelsea Street Apt. 381, West Ryan, MO 20592</t>
  </si>
  <si>
    <t>Darren Ward</t>
  </si>
  <si>
    <t>darren.ward@adobe.com</t>
  </si>
  <si>
    <t>(256)750-4425</t>
  </si>
  <si>
    <t>23409 Erik Common, Jenniferview, NC 93859</t>
  </si>
  <si>
    <t>Kathy Nguyen</t>
  </si>
  <si>
    <t>kathy.nguyen@microsoft.com</t>
  </si>
  <si>
    <t>567-586-0406x87574</t>
  </si>
  <si>
    <t>859 Lutz Corners, Joseside, CO 14385</t>
  </si>
  <si>
    <t>Jared Obrien</t>
  </si>
  <si>
    <t>jared.obrien@google.com</t>
  </si>
  <si>
    <t>687.868.5330</t>
  </si>
  <si>
    <t>30641 Gregory Dam, North Matthew, UT 40914</t>
  </si>
  <si>
    <t>Jordan Dunn</t>
  </si>
  <si>
    <t>jordan.dunn@google.com</t>
  </si>
  <si>
    <t>(382)631-0132</t>
  </si>
  <si>
    <t>1691 Joseph Pass, Barrettside, RI 78024</t>
  </si>
  <si>
    <t>Keith Lee</t>
  </si>
  <si>
    <t>keith.lee@netflix.com</t>
  </si>
  <si>
    <t>1065 Oneill Mill, Port Jamesbury, UT 52551</t>
  </si>
  <si>
    <t>Ronald Mata</t>
  </si>
  <si>
    <t>ronald.mata@intel.com</t>
  </si>
  <si>
    <t>394.060.5103x2733</t>
  </si>
  <si>
    <t>691 Mata Crossing, Davisview, RI 04339</t>
  </si>
  <si>
    <t>Theresa Cowan</t>
  </si>
  <si>
    <t>theresa.cowan@google.com</t>
  </si>
  <si>
    <t>(704)808-0836x373</t>
  </si>
  <si>
    <t>7999 Jordan Grove, Brownside, NV 50044</t>
  </si>
  <si>
    <t>Alexander Copeland</t>
  </si>
  <si>
    <t>alexander.copeland@tesla.com</t>
  </si>
  <si>
    <t>(994)659-0384x648</t>
  </si>
  <si>
    <t>PSC 8467, Box 6921, APO AA 67694</t>
  </si>
  <si>
    <t>David Diaz</t>
  </si>
  <si>
    <t>david.diaz@netflix.com</t>
  </si>
  <si>
    <t>001-540-894-9429</t>
  </si>
  <si>
    <t>72273 Adams Spur, Port James, NE 63422</t>
  </si>
  <si>
    <t>Dr. Alicia Frey</t>
  </si>
  <si>
    <t>dr..alicia.frey@tesla.com</t>
  </si>
  <si>
    <t>001-679-017-4624x681</t>
  </si>
  <si>
    <t>42298 Joseph Field Suite 835, New Mark, CO 50719</t>
  </si>
  <si>
    <t>Alyssa Davidson</t>
  </si>
  <si>
    <t>alyssa.davidson@apple.com</t>
  </si>
  <si>
    <t>001-421-537-3072x504</t>
  </si>
  <si>
    <t>Unit 0077 Box 8246, DPO AP 65141</t>
  </si>
  <si>
    <t>Zachary Cruz MD</t>
  </si>
  <si>
    <t>zachary.cruz.md@netflix.com</t>
  </si>
  <si>
    <t>65046 Fitzpatrick Shore, Strongport, NM 11049</t>
  </si>
  <si>
    <t>Devon Cook</t>
  </si>
  <si>
    <t>devon.cook@tesla.com</t>
  </si>
  <si>
    <t>(406)480-0975</t>
  </si>
  <si>
    <t>2865 Sean Islands, Henrymouth, KY 74118</t>
  </si>
  <si>
    <t>Richard Murray</t>
  </si>
  <si>
    <t>richard.murray@amazon.com</t>
  </si>
  <si>
    <t>077-300-9364</t>
  </si>
  <si>
    <t>PSC 3006, Box 8905, APO AA 00563</t>
  </si>
  <si>
    <t>Kristy Barnett</t>
  </si>
  <si>
    <t>kristy.barnett@microsoft.com</t>
  </si>
  <si>
    <t>006.500.4380x4036</t>
  </si>
  <si>
    <t>26604 Jonathan Overpass, Paulborough, RI 65481</t>
  </si>
  <si>
    <t>Frank Lee</t>
  </si>
  <si>
    <t>frank.lee@adobe.com</t>
  </si>
  <si>
    <t>(557)172-9508x568</t>
  </si>
  <si>
    <t>351 Oneal Knoll Suite 778, West Jessica, CO 53826</t>
  </si>
  <si>
    <t>Timothy Boyd</t>
  </si>
  <si>
    <t>timothy.boyd@ibm.com</t>
  </si>
  <si>
    <t>0233 Taylor Glens, Port Katiechester, ME 34691</t>
  </si>
  <si>
    <t>Vincent Wells</t>
  </si>
  <si>
    <t>vincent.wells@intel.com</t>
  </si>
  <si>
    <t>+1-710-766-3853x17588</t>
  </si>
  <si>
    <t>729 Brandon Isle, East Christinashire, NH 45405</t>
  </si>
  <si>
    <t>Jacob Durham</t>
  </si>
  <si>
    <t>jacob.durham@intel.com</t>
  </si>
  <si>
    <t>295.045.3210</t>
  </si>
  <si>
    <t>117 Beltran Spurs, Lake Caitlinchester, WA 54719</t>
  </si>
  <si>
    <t>Tamara Beck</t>
  </si>
  <si>
    <t>tamara.beck@ibm.com</t>
  </si>
  <si>
    <t>438-878-7872</t>
  </si>
  <si>
    <t>86895 Ruth Bridge, Clarkview, FL 45433</t>
  </si>
  <si>
    <t>William Bailey</t>
  </si>
  <si>
    <t>william.bailey@netflix.com</t>
  </si>
  <si>
    <t>602.743.4761x105</t>
  </si>
  <si>
    <t>07668 Antonio Corners, South Jessicaland, IN 44368</t>
  </si>
  <si>
    <t>Haley Scott</t>
  </si>
  <si>
    <t>haley.scott@intel.com</t>
  </si>
  <si>
    <t>(350)187-3198x00768</t>
  </si>
  <si>
    <t>Unit 4658 Box 1023, DPO AE 05315</t>
  </si>
  <si>
    <t>Nathan Avila</t>
  </si>
  <si>
    <t>nathan.avila@netflix.com</t>
  </si>
  <si>
    <t>083-300-3223x6007</t>
  </si>
  <si>
    <t>27099 Regina Stream, Avilamouth, MI 47495</t>
  </si>
  <si>
    <t>Daniel Sherman</t>
  </si>
  <si>
    <t>daniel.sherman@amazon.com</t>
  </si>
  <si>
    <t>475-843-5530x0949</t>
  </si>
  <si>
    <t>0435 Jacqueline Corner, Walterston, IL 90445</t>
  </si>
  <si>
    <t>Elizabeth Hill</t>
  </si>
  <si>
    <t>elizabeth.hill@intel.com</t>
  </si>
  <si>
    <t>739-365-6917x967</t>
  </si>
  <si>
    <t>18649 Chad Squares, Markbury, ID 95451</t>
  </si>
  <si>
    <t>Shawn Mcconnell</t>
  </si>
  <si>
    <t>shawn.mcconnell@tesla.com</t>
  </si>
  <si>
    <t>188-938-3653x388</t>
  </si>
  <si>
    <t>6728 Danielle Spring, Lake Kellyland, IN 80414</t>
  </si>
  <si>
    <t>Michael Clay</t>
  </si>
  <si>
    <t>michael.clay@apple.com</t>
  </si>
  <si>
    <t>+1-229-204-2030x6442</t>
  </si>
  <si>
    <t>47474 Wilson Inlet, West Paul, NE 99564</t>
  </si>
  <si>
    <t>Elaine Dunlap</t>
  </si>
  <si>
    <t>elaine.dunlap@microsoft.com</t>
  </si>
  <si>
    <t>001-631-875-6586x0832</t>
  </si>
  <si>
    <t>7388 Gonzalez Club Suite 660, Rosstown, NM 90072</t>
  </si>
  <si>
    <t>Diamond Williams</t>
  </si>
  <si>
    <t>diamond.williams@tesla.com</t>
  </si>
  <si>
    <t>869-643-8022x443</t>
  </si>
  <si>
    <t>PSC 6994, Box 3043, APO AE 12895</t>
  </si>
  <si>
    <t>Victor Garrett</t>
  </si>
  <si>
    <t>victor.garrett@netflix.com</t>
  </si>
  <si>
    <t>925.860.5769</t>
  </si>
  <si>
    <t>1116 Lane Streets Suite 606, South Joseph, IN 78828</t>
  </si>
  <si>
    <t>Christopher Bradford</t>
  </si>
  <si>
    <t>christopher.bradford@apple.com</t>
  </si>
  <si>
    <t>+1-215-937-7907x467</t>
  </si>
  <si>
    <t>383 Ford Park Suite 635, New Carolyn, CT 28853</t>
  </si>
  <si>
    <t>Whitney Howard</t>
  </si>
  <si>
    <t>whitney.howard@intel.com</t>
  </si>
  <si>
    <t>118.761.6140x1539</t>
  </si>
  <si>
    <t>522 Heidi Stravenue, Briannaberg, WA 90809</t>
  </si>
  <si>
    <t>Randy Blankenship PhD</t>
  </si>
  <si>
    <t>randy.blankenship.phd@intel.com</t>
  </si>
  <si>
    <t>357.328.3204</t>
  </si>
  <si>
    <t>20977 Baker Flat, Wilcoxland, DC 75391</t>
  </si>
  <si>
    <t>Linda Montgomery</t>
  </si>
  <si>
    <t>linda.montgomery@netflix.com</t>
  </si>
  <si>
    <t>207 Timothy Trace, Louistown, VA 19132</t>
  </si>
  <si>
    <t>Adam Waters</t>
  </si>
  <si>
    <t>adam.waters@adobe.com</t>
  </si>
  <si>
    <t>+1-012-585-6241x37819</t>
  </si>
  <si>
    <t>283 Smith Cliff, Port Victor, AL 76249</t>
  </si>
  <si>
    <t>Brian Wilson</t>
  </si>
  <si>
    <t>brian.wilson@facebook.com</t>
  </si>
  <si>
    <t>(547)593-6744</t>
  </si>
  <si>
    <t>626 Anthony Points Apt. 295, Howardmouth, NV 74121</t>
  </si>
  <si>
    <t>Mary Davis</t>
  </si>
  <si>
    <t>mary.davis@adobe.com</t>
  </si>
  <si>
    <t>(526)802-7189x628</t>
  </si>
  <si>
    <t>312 Miranda Parkway, North Matthew, WA 51830</t>
  </si>
  <si>
    <t>Maria Lewis</t>
  </si>
  <si>
    <t>maria.lewis@intel.com</t>
  </si>
  <si>
    <t>617.174.9460x2337</t>
  </si>
  <si>
    <t>9448 Choi Loaf, Johnfurt, MO 41935</t>
  </si>
  <si>
    <t>Kristina Jennings</t>
  </si>
  <si>
    <t>kristina.jennings@microsoft.com</t>
  </si>
  <si>
    <t>(912)638-6449x0130</t>
  </si>
  <si>
    <t>3309 Snyder Neck, Lake Curtisport, SC 56700</t>
  </si>
  <si>
    <t>Cameron Reyes</t>
  </si>
  <si>
    <t>cameron.reyes@ibm.com</t>
  </si>
  <si>
    <t>001-326-719-7464x909</t>
  </si>
  <si>
    <t>44601 Patrick Green Apt. 884, Webbshire, VT 46732</t>
  </si>
  <si>
    <t>Diane Cobb</t>
  </si>
  <si>
    <t>diane.cobb@microsoft.com</t>
  </si>
  <si>
    <t>62249 Aguirre Oval, Colefurt, NV 46072</t>
  </si>
  <si>
    <t>Danielle Woods</t>
  </si>
  <si>
    <t>danielle.woods@netflix.com</t>
  </si>
  <si>
    <t>198-105-2803</t>
  </si>
  <si>
    <t>4242 Allen Springs, Conniefort, WI 64108</t>
  </si>
  <si>
    <t>Amy Mendez</t>
  </si>
  <si>
    <t>amy.mendez@microsoft.com</t>
  </si>
  <si>
    <t>826.728.5639x922</t>
  </si>
  <si>
    <t>Unit 2596 Box 1810, DPO AA 39161</t>
  </si>
  <si>
    <t>Karen Romero</t>
  </si>
  <si>
    <t>karen.romero@microsoft.com</t>
  </si>
  <si>
    <t>177 Clark Isle, New Alexanderville, OR 92237</t>
  </si>
  <si>
    <t>Matthew Hawkins MD</t>
  </si>
  <si>
    <t>matthew.hawkins.md@facebook.com</t>
  </si>
  <si>
    <t>458-133-6509</t>
  </si>
  <si>
    <t>626 Romero View, East Jeffreyville, IL 84863</t>
  </si>
  <si>
    <t>Jasmine Evans</t>
  </si>
  <si>
    <t>jasmine.evans@netflix.com</t>
  </si>
  <si>
    <t>(669)986-1693x6971</t>
  </si>
  <si>
    <t>92249 Megan Ferry, Davidborough, WV 58830</t>
  </si>
  <si>
    <t>James Christian</t>
  </si>
  <si>
    <t>james.christian@microsoft.com</t>
  </si>
  <si>
    <t>12674 Robert Plaza Suite 805, Thompsontown, AZ 75695</t>
  </si>
  <si>
    <t>Brian Black</t>
  </si>
  <si>
    <t>brian.black@amazon.com</t>
  </si>
  <si>
    <t>(453)579-8623x4528</t>
  </si>
  <si>
    <t>45343 Brooke Meadow Suite 620, Lebury, NJ 14406</t>
  </si>
  <si>
    <t>Brandy Finley</t>
  </si>
  <si>
    <t>brandy.finley@intel.com</t>
  </si>
  <si>
    <t>(014)252-1429x2899</t>
  </si>
  <si>
    <t>9392 Dorsey Meadow, Robertborough, RI 79281</t>
  </si>
  <si>
    <t>Crystal Hancock</t>
  </si>
  <si>
    <t>crystal.hancock@amazon.com</t>
  </si>
  <si>
    <t>004-381-5226</t>
  </si>
  <si>
    <t>20943 Michael Locks Suite 411, North Jaytown, UT 64563</t>
  </si>
  <si>
    <t>Destiny Meyer</t>
  </si>
  <si>
    <t>destiny.meyer@amazon.com</t>
  </si>
  <si>
    <t>001-418-841-0269x5404</t>
  </si>
  <si>
    <t>7389 Ryan Keys Apt. 666, East Sharonchester, MS 53813</t>
  </si>
  <si>
    <t>Jennifer Bennett</t>
  </si>
  <si>
    <t>jennifer.bennett@amazon.com</t>
  </si>
  <si>
    <t>527.345.9761</t>
  </si>
  <si>
    <t>6404 Stanley Plains, Smithmouth, ME 87118</t>
  </si>
  <si>
    <t>James Leonard</t>
  </si>
  <si>
    <t>james.leonard@facebook.com</t>
  </si>
  <si>
    <t>164.114.8397x140</t>
  </si>
  <si>
    <t>597 Henry Manors, East Ronald, MA 72938</t>
  </si>
  <si>
    <t>Renee Jones</t>
  </si>
  <si>
    <t>renee.jones@intel.com</t>
  </si>
  <si>
    <t>+1-817-316-8415x4451</t>
  </si>
  <si>
    <t>66447 Lisa Stravenue Apt. 026, Feliciaton, VT 35906</t>
  </si>
  <si>
    <t>Bradley Stone</t>
  </si>
  <si>
    <t>bradley.stone@amazon.com</t>
  </si>
  <si>
    <t>+1-472-048-4290x47844</t>
  </si>
  <si>
    <t>746 Frances Coves, New Kathryn, AR 68025</t>
  </si>
  <si>
    <t>Janet Torres</t>
  </si>
  <si>
    <t>janet.torres@tesla.com</t>
  </si>
  <si>
    <t>(676)030-8016x38735</t>
  </si>
  <si>
    <t>569 Carl Course Apt. 682, East Tracyton, ME 20045</t>
  </si>
  <si>
    <t>John Wagner</t>
  </si>
  <si>
    <t>john.wagner@microsoft.com</t>
  </si>
  <si>
    <t>265.282.8355x974</t>
  </si>
  <si>
    <t>8068 Wanda Motorway Apt. 573, North Melissabury, AZ 72145</t>
  </si>
  <si>
    <t>Lisa Mills</t>
  </si>
  <si>
    <t>lisa.mills@intel.com</t>
  </si>
  <si>
    <t>629-734-7019</t>
  </si>
  <si>
    <t>36211 Jason Cove, Hallburgh, IL 88564</t>
  </si>
  <si>
    <t>Joshua King</t>
  </si>
  <si>
    <t>joshua.king@google.com</t>
  </si>
  <si>
    <t>522-683-0933</t>
  </si>
  <si>
    <t>25931 Gloria Unions Apt. 283, Lake Elizabethmouth, DC 87934</t>
  </si>
  <si>
    <t>Mason Martin</t>
  </si>
  <si>
    <t>mason.martin@adobe.com</t>
  </si>
  <si>
    <t>+1-922-811-6216x3660</t>
  </si>
  <si>
    <t>93770 Carson Island, East Pamela, NC 30310</t>
  </si>
  <si>
    <t>Shawn Wong</t>
  </si>
  <si>
    <t>shawn.wong@tesla.com</t>
  </si>
  <si>
    <t>(441)880-7295x3734</t>
  </si>
  <si>
    <t>06229 Moore Drives Suite 415, Wilsontown, ME 66061</t>
  </si>
  <si>
    <t>Jessica Hunt</t>
  </si>
  <si>
    <t>jessica.hunt@ibm.com</t>
  </si>
  <si>
    <t>150.914.8305x93631</t>
  </si>
  <si>
    <t>85013 Choi Crescent Apt. 801, Taylormouth, AR 15609</t>
  </si>
  <si>
    <t>samantha.underwood@adobe.com</t>
  </si>
  <si>
    <t>389-146-0508x49127</t>
  </si>
  <si>
    <t>562 Richard Junctions Apt. 582, East Evan, NH 99640</t>
  </si>
  <si>
    <t>Terry Johnson</t>
  </si>
  <si>
    <t>terry.johnson@amazon.com</t>
  </si>
  <si>
    <t>(840)828-3827x95044</t>
  </si>
  <si>
    <t>695 Willis Roads, South Codyville, WY 38573</t>
  </si>
  <si>
    <t>Nicole Wilson</t>
  </si>
  <si>
    <t>nicole.wilson@facebook.com</t>
  </si>
  <si>
    <t>+1-301-939-3251x2915</t>
  </si>
  <si>
    <t>9472 Kristine Parkway, Richardsonport, AK 71487</t>
  </si>
  <si>
    <t>Monica Rodriguez</t>
  </si>
  <si>
    <t>monica.rodriguez@amazon.com</t>
  </si>
  <si>
    <t>(179)992-8858x291</t>
  </si>
  <si>
    <t>Unit 1016 Box 9923, DPO AE 53427</t>
  </si>
  <si>
    <t>Mr. Christopher Snyder</t>
  </si>
  <si>
    <t>mr..christopher.snyder@ibm.com</t>
  </si>
  <si>
    <t>376-856-3552x913</t>
  </si>
  <si>
    <t>090 Curtis Valleys, Lake Charles, VA 39225</t>
  </si>
  <si>
    <t>Theresa Barnes</t>
  </si>
  <si>
    <t>theresa.barnes@adobe.com</t>
  </si>
  <si>
    <t>(439)013-5807</t>
  </si>
  <si>
    <t>486 Perez Inlet, West Thomas, SD 55566</t>
  </si>
  <si>
    <t>admin@integricert.com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</si>
</sst>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integricer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C2" sqref="C2"/>
    </sheetView>
  </sheetViews>
  <sheetFormatPr defaultRowHeight="15" x14ac:dyDescent="0.25"/>
  <cols>
    <col min="1" max="1" width="17.140625" customWidth="1"/>
    <col min="2" max="2" width="11.5703125" bestFit="1" customWidth="1"/>
    <col min="3" max="3" width="28.85546875" bestFit="1" customWidth="1"/>
    <col min="4" max="4" width="14.85546875" bestFit="1" customWidth="1"/>
    <col min="5" max="5" width="24.5703125" bestFit="1" customWidth="1"/>
    <col min="6" max="6" width="15.85546875" bestFit="1" customWidth="1"/>
    <col min="7" max="7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  <c r="G1" s="1" t="s">
        <v>5</v>
      </c>
      <c r="H1" s="3" t="s">
        <v>17</v>
      </c>
    </row>
    <row r="2" spans="1:8" x14ac:dyDescent="0.25">
      <c r="A2" t="s">
        <v>15</v>
      </c>
      <c r="B2" s="6">
        <v>38173</v>
      </c>
      <c r="C2" s="2" t="s">
        <v>5502</v>
      </c>
      <c r="D2" t="s">
        <v>10</v>
      </c>
      <c r="E2" t="s">
        <v>11</v>
      </c>
      <c r="F2" t="s">
        <v>16</v>
      </c>
      <c r="G2" t="s">
        <v>16</v>
      </c>
      <c r="H2" t="s">
        <v>18</v>
      </c>
    </row>
    <row r="3" spans="1:8" x14ac:dyDescent="0.25">
      <c r="A3" t="s">
        <v>6</v>
      </c>
      <c r="B3" s="6">
        <v>38044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19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D13" sqref="A1:XFD1048576"/>
    </sheetView>
  </sheetViews>
  <sheetFormatPr defaultRowHeight="15" x14ac:dyDescent="0.25"/>
  <cols>
    <col min="1" max="1" width="10.5703125" style="5" bestFit="1" customWidth="1"/>
    <col min="2" max="2" width="20.28515625" style="5" bestFit="1" customWidth="1"/>
    <col min="3" max="4" width="14.7109375" style="5" bestFit="1" customWidth="1"/>
    <col min="5" max="5" width="16.140625" style="5" bestFit="1" customWidth="1"/>
    <col min="6" max="6" width="11" style="5" bestFit="1" customWidth="1"/>
    <col min="7" max="7" width="29.140625" style="5" bestFit="1" customWidth="1"/>
    <col min="8" max="16384" width="9.140625" style="5"/>
  </cols>
  <sheetData>
    <row r="1" spans="1:7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</v>
      </c>
    </row>
    <row r="2" spans="1:7" x14ac:dyDescent="0.25">
      <c r="A2" s="5">
        <v>1</v>
      </c>
      <c r="B2" s="5" t="s">
        <v>27</v>
      </c>
      <c r="C2" s="5" t="s">
        <v>28</v>
      </c>
      <c r="D2" s="5" t="s">
        <v>29</v>
      </c>
      <c r="E2" s="5">
        <v>1857</v>
      </c>
      <c r="F2" s="5">
        <v>6543210987</v>
      </c>
      <c r="G2" s="5" t="s">
        <v>30</v>
      </c>
    </row>
    <row r="3" spans="1:7" x14ac:dyDescent="0.25">
      <c r="A3" s="5">
        <v>2</v>
      </c>
      <c r="B3" t="s">
        <v>31</v>
      </c>
      <c r="C3" s="5" t="s">
        <v>32</v>
      </c>
      <c r="D3" s="5" t="s">
        <v>33</v>
      </c>
      <c r="E3" s="5">
        <v>1859</v>
      </c>
      <c r="F3" s="5">
        <v>6677885544</v>
      </c>
      <c r="G3" s="5" t="s">
        <v>34</v>
      </c>
    </row>
    <row r="4" spans="1:7" x14ac:dyDescent="0.25">
      <c r="A4" s="5">
        <v>3</v>
      </c>
      <c r="B4" t="s">
        <v>35</v>
      </c>
      <c r="C4" s="5" t="s">
        <v>36</v>
      </c>
      <c r="D4" s="5" t="s">
        <v>37</v>
      </c>
      <c r="E4" s="5">
        <v>1871</v>
      </c>
      <c r="F4" s="5">
        <v>8765432109</v>
      </c>
      <c r="G4" s="5" t="s">
        <v>38</v>
      </c>
    </row>
    <row r="5" spans="1:7" x14ac:dyDescent="0.25">
      <c r="A5" s="5">
        <v>4</v>
      </c>
      <c r="B5" s="5" t="s">
        <v>39</v>
      </c>
      <c r="C5" s="5" t="s">
        <v>40</v>
      </c>
      <c r="D5" s="5" t="s">
        <v>41</v>
      </c>
      <c r="E5" s="5">
        <v>1876</v>
      </c>
      <c r="F5" s="5">
        <v>7654321098</v>
      </c>
      <c r="G5" s="5" t="s">
        <v>42</v>
      </c>
    </row>
    <row r="6" spans="1:7" x14ac:dyDescent="0.25">
      <c r="A6" s="5">
        <v>5</v>
      </c>
      <c r="B6" t="s">
        <v>43</v>
      </c>
      <c r="C6" s="5" t="s">
        <v>44</v>
      </c>
      <c r="D6" s="5" t="s">
        <v>45</v>
      </c>
      <c r="E6" s="5">
        <v>1899</v>
      </c>
      <c r="F6" s="5">
        <v>8899776655</v>
      </c>
      <c r="G6" s="5" t="s">
        <v>46</v>
      </c>
    </row>
    <row r="7" spans="1:7" x14ac:dyDescent="0.25">
      <c r="A7" s="5">
        <v>6</v>
      </c>
      <c r="B7" t="s">
        <v>47</v>
      </c>
      <c r="C7" s="5" t="s">
        <v>48</v>
      </c>
      <c r="D7" s="5" t="s">
        <v>49</v>
      </c>
      <c r="E7" s="5">
        <v>1909</v>
      </c>
      <c r="F7" s="5">
        <v>4455663322</v>
      </c>
      <c r="G7" s="5" t="s">
        <v>50</v>
      </c>
    </row>
    <row r="8" spans="1:7" x14ac:dyDescent="0.25">
      <c r="A8" s="5">
        <v>7</v>
      </c>
      <c r="B8" s="5" t="s">
        <v>51</v>
      </c>
      <c r="C8" s="5" t="s">
        <v>52</v>
      </c>
      <c r="D8" s="5" t="s">
        <v>53</v>
      </c>
      <c r="E8" s="5">
        <v>1911</v>
      </c>
      <c r="F8" s="5">
        <v>7788996655</v>
      </c>
      <c r="G8" s="5" t="s">
        <v>54</v>
      </c>
    </row>
    <row r="9" spans="1:7" x14ac:dyDescent="0.25">
      <c r="A9" s="5">
        <v>8</v>
      </c>
      <c r="B9" s="5" t="s">
        <v>55</v>
      </c>
      <c r="C9" s="5" t="s">
        <v>56</v>
      </c>
      <c r="D9" s="5" t="s">
        <v>57</v>
      </c>
      <c r="E9" s="5">
        <v>1921</v>
      </c>
      <c r="F9" s="5">
        <v>9988776655</v>
      </c>
      <c r="G9" s="5" t="s">
        <v>58</v>
      </c>
    </row>
    <row r="10" spans="1:7" x14ac:dyDescent="0.25">
      <c r="A10" s="5">
        <v>9</v>
      </c>
      <c r="B10" t="s">
        <v>59</v>
      </c>
      <c r="C10" s="5" t="s">
        <v>40</v>
      </c>
      <c r="D10" s="5" t="s">
        <v>60</v>
      </c>
      <c r="E10" s="5">
        <v>1929</v>
      </c>
      <c r="F10" s="5">
        <v>9876543210</v>
      </c>
      <c r="G10" s="5" t="s">
        <v>61</v>
      </c>
    </row>
    <row r="11" spans="1:7" x14ac:dyDescent="0.25">
      <c r="A11" s="5">
        <v>10</v>
      </c>
      <c r="B11" t="s">
        <v>62</v>
      </c>
      <c r="C11" s="5" t="s">
        <v>63</v>
      </c>
      <c r="D11" s="5" t="s">
        <v>64</v>
      </c>
      <c r="E11" s="5">
        <v>1973</v>
      </c>
      <c r="F11" s="5">
        <v>5566774433</v>
      </c>
      <c r="G11" s="5" t="s">
        <v>65</v>
      </c>
    </row>
    <row r="14" spans="1:7" x14ac:dyDescent="0.25">
      <c r="B14"/>
    </row>
    <row r="61" spans="2:2" x14ac:dyDescent="0.25">
      <c r="B6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selection activeCell="A3" sqref="A1:XFD3"/>
    </sheetView>
  </sheetViews>
  <sheetFormatPr defaultRowHeight="15" x14ac:dyDescent="0.25"/>
  <cols>
    <col min="1" max="1" width="10.85546875" style="5" bestFit="1" customWidth="1"/>
    <col min="2" max="2" width="17.28515625" style="5" bestFit="1" customWidth="1"/>
    <col min="3" max="3" width="7.5703125" style="5" bestFit="1" customWidth="1"/>
    <col min="4" max="4" width="20.28515625" style="5" bestFit="1" customWidth="1"/>
    <col min="5" max="5" width="24.42578125" style="5" bestFit="1" customWidth="1"/>
    <col min="6" max="6" width="31.140625" style="5" bestFit="1" customWidth="1"/>
    <col min="7" max="7" width="15.140625" style="5" bestFit="1" customWidth="1"/>
    <col min="8" max="8" width="31.42578125" style="5" bestFit="1" customWidth="1"/>
    <col min="9" max="9" width="14.5703125" style="5" bestFit="1" customWidth="1"/>
    <col min="10" max="10" width="13.85546875" style="5" bestFit="1" customWidth="1"/>
    <col min="11" max="11" width="8.42578125" style="5" bestFit="1" customWidth="1"/>
    <col min="12" max="12" width="10.42578125" style="5" bestFit="1" customWidth="1"/>
    <col min="13" max="16384" width="9.140625" style="5"/>
  </cols>
  <sheetData>
    <row r="1" spans="1:12" s="4" customFormat="1" x14ac:dyDescent="0.25">
      <c r="A1" s="4" t="s">
        <v>66</v>
      </c>
      <c r="B1" s="4" t="s">
        <v>14</v>
      </c>
      <c r="C1" s="4" t="s">
        <v>67</v>
      </c>
      <c r="D1" s="4" t="s">
        <v>22</v>
      </c>
      <c r="E1" s="4" t="s">
        <v>68</v>
      </c>
      <c r="F1" s="4" t="s">
        <v>2</v>
      </c>
      <c r="G1" s="4" t="s">
        <v>69</v>
      </c>
      <c r="H1" s="4" t="s">
        <v>20</v>
      </c>
      <c r="I1" s="4" t="s">
        <v>70</v>
      </c>
      <c r="J1" s="4" t="s">
        <v>71</v>
      </c>
      <c r="K1" s="4" t="s">
        <v>72</v>
      </c>
      <c r="L1" s="4" t="s">
        <v>73</v>
      </c>
    </row>
    <row r="2" spans="1:12" x14ac:dyDescent="0.25">
      <c r="A2" s="5">
        <v>1</v>
      </c>
      <c r="B2" s="5" t="s">
        <v>74</v>
      </c>
      <c r="C2" s="5" t="s">
        <v>75</v>
      </c>
      <c r="D2" s="5" t="s">
        <v>47</v>
      </c>
      <c r="E2" s="5" t="s">
        <v>76</v>
      </c>
      <c r="F2" s="5" t="s">
        <v>77</v>
      </c>
      <c r="G2" s="5">
        <v>9161854635</v>
      </c>
      <c r="H2" s="5" t="s">
        <v>78</v>
      </c>
      <c r="I2" s="5" t="s">
        <v>79</v>
      </c>
      <c r="J2" s="5" t="s">
        <v>80</v>
      </c>
      <c r="K2" s="5" t="s">
        <v>81</v>
      </c>
      <c r="L2" s="6">
        <v>38004</v>
      </c>
    </row>
    <row r="3" spans="1:12" x14ac:dyDescent="0.25">
      <c r="A3" s="5">
        <v>2</v>
      </c>
      <c r="B3" s="5" t="s">
        <v>82</v>
      </c>
      <c r="C3" s="5" t="s">
        <v>83</v>
      </c>
      <c r="D3" s="5" t="s">
        <v>47</v>
      </c>
      <c r="E3" s="5" t="s">
        <v>76</v>
      </c>
      <c r="F3" s="5" t="s">
        <v>84</v>
      </c>
      <c r="G3" s="5">
        <v>6062175723</v>
      </c>
      <c r="H3" s="5" t="s">
        <v>85</v>
      </c>
      <c r="I3" s="5" t="s">
        <v>79</v>
      </c>
      <c r="J3" s="5" t="s">
        <v>80</v>
      </c>
      <c r="K3" s="5" t="s">
        <v>81</v>
      </c>
      <c r="L3" s="6">
        <v>38304</v>
      </c>
    </row>
    <row r="4" spans="1:12" x14ac:dyDescent="0.25">
      <c r="A4" s="5">
        <v>3</v>
      </c>
      <c r="B4" s="5" t="s">
        <v>86</v>
      </c>
      <c r="C4" s="5" t="s">
        <v>83</v>
      </c>
      <c r="D4" s="5" t="s">
        <v>47</v>
      </c>
      <c r="E4" s="5" t="s">
        <v>87</v>
      </c>
      <c r="F4" s="5" t="s">
        <v>88</v>
      </c>
      <c r="G4" s="5">
        <v>6183133680</v>
      </c>
      <c r="H4" s="5" t="s">
        <v>89</v>
      </c>
      <c r="I4" s="5" t="s">
        <v>79</v>
      </c>
      <c r="J4" s="5" t="s">
        <v>80</v>
      </c>
      <c r="K4" s="5" t="s">
        <v>90</v>
      </c>
      <c r="L4" s="6">
        <v>38182</v>
      </c>
    </row>
    <row r="5" spans="1:12" x14ac:dyDescent="0.25">
      <c r="A5" s="5">
        <v>4</v>
      </c>
      <c r="B5" s="5" t="s">
        <v>91</v>
      </c>
      <c r="C5" s="5" t="s">
        <v>83</v>
      </c>
      <c r="D5" s="5" t="s">
        <v>47</v>
      </c>
      <c r="E5" s="5" t="s">
        <v>92</v>
      </c>
      <c r="F5" s="5" t="s">
        <v>93</v>
      </c>
      <c r="G5" s="5">
        <v>6321823106</v>
      </c>
      <c r="H5" s="5" t="s">
        <v>94</v>
      </c>
      <c r="I5" s="5" t="s">
        <v>79</v>
      </c>
      <c r="J5" s="5" t="s">
        <v>80</v>
      </c>
      <c r="K5" s="5" t="s">
        <v>81</v>
      </c>
      <c r="L5" s="6">
        <v>38342</v>
      </c>
    </row>
    <row r="6" spans="1:12" x14ac:dyDescent="0.25">
      <c r="A6" s="5">
        <v>5</v>
      </c>
      <c r="B6" s="5" t="s">
        <v>95</v>
      </c>
      <c r="C6" s="5" t="s">
        <v>75</v>
      </c>
      <c r="D6" s="5" t="s">
        <v>47</v>
      </c>
      <c r="E6" s="5" t="s">
        <v>76</v>
      </c>
      <c r="F6" s="5" t="s">
        <v>96</v>
      </c>
      <c r="G6" s="5">
        <v>8551026845</v>
      </c>
      <c r="H6" s="5" t="s">
        <v>97</v>
      </c>
      <c r="I6" s="5" t="s">
        <v>79</v>
      </c>
      <c r="J6" s="5" t="s">
        <v>80</v>
      </c>
      <c r="K6" s="5" t="s">
        <v>81</v>
      </c>
      <c r="L6" s="6">
        <v>38157</v>
      </c>
    </row>
    <row r="7" spans="1:12" x14ac:dyDescent="0.25">
      <c r="A7" s="5">
        <v>6</v>
      </c>
      <c r="B7" s="5" t="s">
        <v>98</v>
      </c>
      <c r="C7" s="5" t="s">
        <v>75</v>
      </c>
      <c r="D7" s="5" t="s">
        <v>47</v>
      </c>
      <c r="E7" s="5" t="s">
        <v>87</v>
      </c>
      <c r="F7" s="5" t="s">
        <v>99</v>
      </c>
      <c r="G7" s="5">
        <v>8073831188</v>
      </c>
      <c r="H7" s="5" t="s">
        <v>100</v>
      </c>
      <c r="I7" s="5" t="s">
        <v>79</v>
      </c>
      <c r="J7" s="5" t="s">
        <v>80</v>
      </c>
      <c r="K7" s="5" t="s">
        <v>90</v>
      </c>
      <c r="L7" s="6">
        <v>38340</v>
      </c>
    </row>
    <row r="8" spans="1:12" x14ac:dyDescent="0.25">
      <c r="A8" s="5">
        <v>7</v>
      </c>
      <c r="B8" s="5" t="s">
        <v>101</v>
      </c>
      <c r="C8" s="5" t="s">
        <v>75</v>
      </c>
      <c r="D8" s="5" t="s">
        <v>47</v>
      </c>
      <c r="E8" s="5" t="s">
        <v>102</v>
      </c>
      <c r="F8" s="5" t="s">
        <v>103</v>
      </c>
      <c r="G8" s="5">
        <v>6526144021</v>
      </c>
      <c r="H8" s="5" t="s">
        <v>104</v>
      </c>
      <c r="I8" s="5" t="s">
        <v>79</v>
      </c>
      <c r="J8" s="5" t="s">
        <v>80</v>
      </c>
      <c r="K8" s="5" t="s">
        <v>105</v>
      </c>
      <c r="L8" s="6">
        <v>38145</v>
      </c>
    </row>
    <row r="9" spans="1:12" x14ac:dyDescent="0.25">
      <c r="A9" s="5">
        <v>8</v>
      </c>
      <c r="B9" s="5" t="s">
        <v>101</v>
      </c>
      <c r="C9" s="5" t="s">
        <v>75</v>
      </c>
      <c r="D9" s="5" t="s">
        <v>47</v>
      </c>
      <c r="E9" s="5" t="s">
        <v>106</v>
      </c>
      <c r="F9" s="5" t="s">
        <v>103</v>
      </c>
      <c r="G9" s="5">
        <v>8085475849</v>
      </c>
      <c r="H9" s="5" t="s">
        <v>107</v>
      </c>
      <c r="I9" s="5" t="s">
        <v>79</v>
      </c>
      <c r="J9" s="5" t="s">
        <v>80</v>
      </c>
      <c r="K9" s="5" t="s">
        <v>105</v>
      </c>
      <c r="L9" s="6">
        <v>38173</v>
      </c>
    </row>
    <row r="10" spans="1:12" x14ac:dyDescent="0.25">
      <c r="A10" s="5">
        <v>9</v>
      </c>
      <c r="B10" s="5" t="s">
        <v>108</v>
      </c>
      <c r="C10" s="5" t="s">
        <v>83</v>
      </c>
      <c r="D10" s="5" t="s">
        <v>47</v>
      </c>
      <c r="E10" s="5" t="s">
        <v>109</v>
      </c>
      <c r="F10" s="5" t="s">
        <v>110</v>
      </c>
      <c r="G10" s="5">
        <v>8235669322</v>
      </c>
      <c r="H10" s="5" t="s">
        <v>111</v>
      </c>
      <c r="I10" s="5" t="s">
        <v>79</v>
      </c>
      <c r="J10" s="5" t="s">
        <v>112</v>
      </c>
      <c r="K10" s="5" t="s">
        <v>81</v>
      </c>
      <c r="L10" s="6">
        <v>38044</v>
      </c>
    </row>
    <row r="11" spans="1:12" x14ac:dyDescent="0.25">
      <c r="A11" s="5">
        <v>10</v>
      </c>
      <c r="B11" s="5" t="s">
        <v>113</v>
      </c>
      <c r="C11" s="5" t="s">
        <v>75</v>
      </c>
      <c r="D11" s="5" t="s">
        <v>47</v>
      </c>
      <c r="E11" s="5" t="s">
        <v>102</v>
      </c>
      <c r="F11" s="5" t="s">
        <v>114</v>
      </c>
      <c r="G11" s="5">
        <v>6611975631</v>
      </c>
      <c r="H11" s="5" t="s">
        <v>115</v>
      </c>
      <c r="I11" s="5" t="s">
        <v>79</v>
      </c>
      <c r="J11" s="5" t="s">
        <v>80</v>
      </c>
      <c r="K11" s="5" t="s">
        <v>105</v>
      </c>
      <c r="L11" s="6">
        <v>38098</v>
      </c>
    </row>
    <row r="12" spans="1:12" x14ac:dyDescent="0.25">
      <c r="A12" s="5">
        <v>11</v>
      </c>
      <c r="B12" s="5" t="s">
        <v>116</v>
      </c>
      <c r="C12" s="5" t="s">
        <v>75</v>
      </c>
      <c r="D12" s="5" t="s">
        <v>47</v>
      </c>
      <c r="E12" s="5" t="s">
        <v>117</v>
      </c>
      <c r="F12" s="5" t="s">
        <v>118</v>
      </c>
      <c r="G12" s="5">
        <v>9159112394</v>
      </c>
      <c r="H12" s="5" t="s">
        <v>119</v>
      </c>
      <c r="I12" s="5" t="s">
        <v>79</v>
      </c>
      <c r="J12" s="5" t="s">
        <v>80</v>
      </c>
      <c r="K12" s="5" t="s">
        <v>90</v>
      </c>
      <c r="L12" s="6">
        <v>37997</v>
      </c>
    </row>
    <row r="13" spans="1:12" x14ac:dyDescent="0.25">
      <c r="A13" s="5">
        <v>12</v>
      </c>
      <c r="B13" s="5" t="s">
        <v>7</v>
      </c>
      <c r="C13" s="5" t="s">
        <v>83</v>
      </c>
      <c r="D13" s="5" t="s">
        <v>47</v>
      </c>
      <c r="E13" s="5" t="s">
        <v>76</v>
      </c>
      <c r="F13" s="5" t="s">
        <v>120</v>
      </c>
      <c r="G13" s="5">
        <v>9618702078</v>
      </c>
      <c r="H13" s="5" t="s">
        <v>121</v>
      </c>
      <c r="I13" s="5" t="s">
        <v>79</v>
      </c>
      <c r="J13" s="5" t="s">
        <v>80</v>
      </c>
      <c r="K13" s="5" t="s">
        <v>81</v>
      </c>
      <c r="L13" s="6">
        <v>38273</v>
      </c>
    </row>
    <row r="14" spans="1:12" x14ac:dyDescent="0.25">
      <c r="A14" s="5">
        <v>13</v>
      </c>
      <c r="B14" s="5" t="s">
        <v>122</v>
      </c>
      <c r="C14" s="5" t="s">
        <v>75</v>
      </c>
      <c r="D14" s="5" t="s">
        <v>47</v>
      </c>
      <c r="E14" s="5" t="s">
        <v>109</v>
      </c>
      <c r="F14" s="5" t="s">
        <v>123</v>
      </c>
      <c r="G14" s="5">
        <v>8389749696</v>
      </c>
      <c r="H14" s="5" t="s">
        <v>124</v>
      </c>
      <c r="I14" s="5" t="s">
        <v>79</v>
      </c>
      <c r="J14" s="5" t="s">
        <v>80</v>
      </c>
      <c r="K14" s="5" t="s">
        <v>81</v>
      </c>
      <c r="L14" s="6">
        <v>38316</v>
      </c>
    </row>
    <row r="15" spans="1:12" x14ac:dyDescent="0.25">
      <c r="A15" s="5">
        <v>14</v>
      </c>
      <c r="B15" s="5" t="s">
        <v>125</v>
      </c>
      <c r="C15" s="5" t="s">
        <v>75</v>
      </c>
      <c r="D15" s="5" t="s">
        <v>47</v>
      </c>
      <c r="E15" s="5" t="s">
        <v>126</v>
      </c>
      <c r="F15" s="5" t="s">
        <v>127</v>
      </c>
      <c r="G15" s="5">
        <v>9100750476</v>
      </c>
      <c r="H15" s="5" t="s">
        <v>128</v>
      </c>
      <c r="I15" s="5" t="s">
        <v>79</v>
      </c>
      <c r="J15" s="5" t="s">
        <v>129</v>
      </c>
      <c r="K15" s="5" t="s">
        <v>90</v>
      </c>
      <c r="L15" s="6">
        <v>38111</v>
      </c>
    </row>
    <row r="16" spans="1:12" x14ac:dyDescent="0.25">
      <c r="A16" s="5">
        <v>15</v>
      </c>
      <c r="B16" s="5" t="s">
        <v>130</v>
      </c>
      <c r="C16" s="5" t="s">
        <v>75</v>
      </c>
      <c r="D16" s="5" t="s">
        <v>47</v>
      </c>
      <c r="E16" s="5" t="s">
        <v>131</v>
      </c>
      <c r="F16" s="5" t="s">
        <v>132</v>
      </c>
      <c r="G16" s="5">
        <v>8205663684</v>
      </c>
      <c r="H16" s="5" t="s">
        <v>133</v>
      </c>
      <c r="I16" s="5" t="s">
        <v>79</v>
      </c>
      <c r="J16" s="5" t="s">
        <v>112</v>
      </c>
      <c r="K16" s="5" t="s">
        <v>105</v>
      </c>
      <c r="L16" s="6">
        <v>38135</v>
      </c>
    </row>
    <row r="17" spans="1:12" x14ac:dyDescent="0.25">
      <c r="A17" s="5">
        <v>16</v>
      </c>
      <c r="B17" s="5" t="s">
        <v>134</v>
      </c>
      <c r="C17" s="5" t="s">
        <v>83</v>
      </c>
      <c r="D17" s="5" t="s">
        <v>47</v>
      </c>
      <c r="E17" s="5" t="s">
        <v>135</v>
      </c>
      <c r="F17" s="5" t="s">
        <v>136</v>
      </c>
      <c r="G17" s="5">
        <v>7552650507</v>
      </c>
      <c r="H17" s="5" t="s">
        <v>128</v>
      </c>
      <c r="I17" s="5" t="s">
        <v>79</v>
      </c>
      <c r="J17" s="5" t="s">
        <v>80</v>
      </c>
      <c r="K17" s="5" t="s">
        <v>81</v>
      </c>
      <c r="L17" s="6">
        <v>38072</v>
      </c>
    </row>
    <row r="18" spans="1:12" x14ac:dyDescent="0.25">
      <c r="A18" s="5">
        <v>17</v>
      </c>
      <c r="B18" s="5" t="s">
        <v>82</v>
      </c>
      <c r="C18" s="5" t="s">
        <v>83</v>
      </c>
      <c r="D18" s="5" t="s">
        <v>47</v>
      </c>
      <c r="E18" s="5" t="s">
        <v>76</v>
      </c>
      <c r="F18" s="5" t="s">
        <v>84</v>
      </c>
      <c r="G18" s="5">
        <v>7911925849</v>
      </c>
      <c r="H18" s="5" t="s">
        <v>137</v>
      </c>
      <c r="I18" s="5" t="s">
        <v>79</v>
      </c>
      <c r="J18" s="5" t="s">
        <v>129</v>
      </c>
      <c r="K18" s="5" t="s">
        <v>81</v>
      </c>
      <c r="L18" s="6">
        <v>38347</v>
      </c>
    </row>
    <row r="19" spans="1:12" x14ac:dyDescent="0.25">
      <c r="A19" s="5">
        <v>18</v>
      </c>
      <c r="B19" s="5" t="s">
        <v>138</v>
      </c>
      <c r="C19" s="5" t="s">
        <v>75</v>
      </c>
      <c r="D19" s="5" t="s">
        <v>47</v>
      </c>
      <c r="E19" s="5" t="s">
        <v>109</v>
      </c>
      <c r="F19" s="5" t="s">
        <v>139</v>
      </c>
      <c r="G19" s="5">
        <v>7454202761</v>
      </c>
      <c r="H19" s="5" t="s">
        <v>140</v>
      </c>
      <c r="I19" s="5" t="s">
        <v>79</v>
      </c>
      <c r="J19" s="5" t="s">
        <v>80</v>
      </c>
      <c r="K19" s="5" t="s">
        <v>81</v>
      </c>
      <c r="L19" s="6">
        <v>38256</v>
      </c>
    </row>
    <row r="20" spans="1:12" x14ac:dyDescent="0.25">
      <c r="A20" s="5">
        <v>19</v>
      </c>
      <c r="B20" s="5" t="s">
        <v>141</v>
      </c>
      <c r="C20" s="5" t="s">
        <v>83</v>
      </c>
      <c r="D20" s="5" t="s">
        <v>47</v>
      </c>
      <c r="E20" s="5" t="s">
        <v>102</v>
      </c>
      <c r="F20" s="5" t="s">
        <v>142</v>
      </c>
      <c r="G20" s="5">
        <v>9396451582</v>
      </c>
      <c r="H20" s="5" t="s">
        <v>143</v>
      </c>
      <c r="I20" s="5" t="s">
        <v>79</v>
      </c>
      <c r="J20" s="5" t="s">
        <v>112</v>
      </c>
      <c r="K20" s="5" t="s">
        <v>105</v>
      </c>
      <c r="L20" s="6">
        <v>38323</v>
      </c>
    </row>
    <row r="21" spans="1:12" x14ac:dyDescent="0.25">
      <c r="A21" s="5">
        <v>20</v>
      </c>
      <c r="B21" s="5" t="s">
        <v>144</v>
      </c>
      <c r="C21" s="5" t="s">
        <v>83</v>
      </c>
      <c r="D21" s="5" t="s">
        <v>47</v>
      </c>
      <c r="E21" s="5" t="s">
        <v>102</v>
      </c>
      <c r="F21" s="5" t="s">
        <v>145</v>
      </c>
      <c r="G21" s="5">
        <v>8077004628</v>
      </c>
      <c r="H21" s="5" t="s">
        <v>146</v>
      </c>
      <c r="I21" s="5" t="s">
        <v>79</v>
      </c>
      <c r="J21" s="5" t="s">
        <v>80</v>
      </c>
      <c r="K21" s="5" t="s">
        <v>105</v>
      </c>
      <c r="L21" s="6">
        <v>38328</v>
      </c>
    </row>
    <row r="22" spans="1:12" x14ac:dyDescent="0.25">
      <c r="A22" s="5">
        <v>21</v>
      </c>
      <c r="B22" s="5" t="s">
        <v>147</v>
      </c>
      <c r="C22" s="5" t="s">
        <v>83</v>
      </c>
      <c r="D22" s="5" t="s">
        <v>47</v>
      </c>
      <c r="E22" s="5" t="s">
        <v>76</v>
      </c>
      <c r="F22" s="5" t="s">
        <v>148</v>
      </c>
      <c r="G22" s="5">
        <v>9463535319</v>
      </c>
      <c r="H22" s="5" t="s">
        <v>149</v>
      </c>
      <c r="I22" s="5" t="s">
        <v>79</v>
      </c>
      <c r="J22" s="5" t="s">
        <v>129</v>
      </c>
      <c r="K22" s="5" t="s">
        <v>81</v>
      </c>
      <c r="L22" s="6">
        <v>38183</v>
      </c>
    </row>
    <row r="23" spans="1:12" x14ac:dyDescent="0.25">
      <c r="A23" s="5">
        <v>22</v>
      </c>
      <c r="B23" s="5" t="s">
        <v>144</v>
      </c>
      <c r="C23" s="5" t="s">
        <v>75</v>
      </c>
      <c r="D23" s="5" t="s">
        <v>47</v>
      </c>
      <c r="E23" s="5" t="s">
        <v>87</v>
      </c>
      <c r="F23" s="5" t="s">
        <v>145</v>
      </c>
      <c r="G23" s="5">
        <v>6142058935</v>
      </c>
      <c r="H23" s="5" t="s">
        <v>150</v>
      </c>
      <c r="I23" s="5" t="s">
        <v>79</v>
      </c>
      <c r="J23" s="5" t="s">
        <v>112</v>
      </c>
      <c r="K23" s="5" t="s">
        <v>90</v>
      </c>
      <c r="L23" s="6">
        <v>38253</v>
      </c>
    </row>
    <row r="24" spans="1:12" x14ac:dyDescent="0.25">
      <c r="A24" s="5">
        <v>23</v>
      </c>
      <c r="B24" s="5" t="s">
        <v>151</v>
      </c>
      <c r="C24" s="5" t="s">
        <v>83</v>
      </c>
      <c r="D24" s="5" t="s">
        <v>47</v>
      </c>
      <c r="E24" s="5" t="s">
        <v>92</v>
      </c>
      <c r="F24" s="5" t="s">
        <v>152</v>
      </c>
      <c r="G24" s="5">
        <v>9846424802</v>
      </c>
      <c r="H24" s="5" t="s">
        <v>153</v>
      </c>
      <c r="I24" s="5" t="s">
        <v>79</v>
      </c>
      <c r="J24" s="5" t="s">
        <v>112</v>
      </c>
      <c r="K24" s="5" t="s">
        <v>81</v>
      </c>
      <c r="L24" s="6">
        <v>38126</v>
      </c>
    </row>
    <row r="25" spans="1:12" x14ac:dyDescent="0.25">
      <c r="A25" s="5">
        <v>24</v>
      </c>
      <c r="B25" s="5" t="s">
        <v>74</v>
      </c>
      <c r="C25" s="5" t="s">
        <v>83</v>
      </c>
      <c r="D25" s="5" t="s">
        <v>47</v>
      </c>
      <c r="E25" s="5" t="s">
        <v>102</v>
      </c>
      <c r="F25" s="5" t="s">
        <v>77</v>
      </c>
      <c r="G25" s="5">
        <v>9503160785</v>
      </c>
      <c r="H25" s="5" t="s">
        <v>154</v>
      </c>
      <c r="I25" s="5" t="s">
        <v>79</v>
      </c>
      <c r="J25" s="5" t="s">
        <v>80</v>
      </c>
      <c r="K25" s="5" t="s">
        <v>105</v>
      </c>
      <c r="L25" s="6">
        <v>38085</v>
      </c>
    </row>
    <row r="26" spans="1:12" x14ac:dyDescent="0.25">
      <c r="A26" s="5">
        <v>25</v>
      </c>
      <c r="B26" s="5" t="s">
        <v>155</v>
      </c>
      <c r="C26" s="5" t="s">
        <v>75</v>
      </c>
      <c r="D26" s="5" t="s">
        <v>47</v>
      </c>
      <c r="E26" s="5" t="s">
        <v>117</v>
      </c>
      <c r="F26" s="5" t="s">
        <v>156</v>
      </c>
      <c r="G26" s="5">
        <v>7828162957</v>
      </c>
      <c r="H26" s="5" t="s">
        <v>157</v>
      </c>
      <c r="I26" s="5" t="s">
        <v>158</v>
      </c>
      <c r="J26" s="5" t="s">
        <v>159</v>
      </c>
      <c r="K26" s="5" t="s">
        <v>90</v>
      </c>
      <c r="L26" s="6">
        <v>38452</v>
      </c>
    </row>
    <row r="27" spans="1:12" x14ac:dyDescent="0.25">
      <c r="A27" s="5">
        <v>26</v>
      </c>
      <c r="B27" s="5" t="s">
        <v>141</v>
      </c>
      <c r="C27" s="5" t="s">
        <v>75</v>
      </c>
      <c r="D27" s="5" t="s">
        <v>47</v>
      </c>
      <c r="E27" s="5" t="s">
        <v>131</v>
      </c>
      <c r="F27" s="5" t="s">
        <v>142</v>
      </c>
      <c r="G27" s="5">
        <v>8949540635</v>
      </c>
      <c r="H27" s="5" t="s">
        <v>160</v>
      </c>
      <c r="I27" s="5" t="s">
        <v>158</v>
      </c>
      <c r="J27" s="5" t="s">
        <v>129</v>
      </c>
      <c r="K27" s="5" t="s">
        <v>105</v>
      </c>
      <c r="L27" s="6">
        <v>38398</v>
      </c>
    </row>
    <row r="28" spans="1:12" x14ac:dyDescent="0.25">
      <c r="A28" s="5">
        <v>27</v>
      </c>
      <c r="B28" s="5" t="s">
        <v>161</v>
      </c>
      <c r="C28" s="5" t="s">
        <v>83</v>
      </c>
      <c r="D28" s="5" t="s">
        <v>47</v>
      </c>
      <c r="E28" s="5" t="s">
        <v>109</v>
      </c>
      <c r="F28" s="5" t="s">
        <v>162</v>
      </c>
      <c r="G28" s="5">
        <v>7501517804</v>
      </c>
      <c r="H28" s="5" t="s">
        <v>163</v>
      </c>
      <c r="I28" s="5" t="s">
        <v>158</v>
      </c>
      <c r="J28" s="5" t="s">
        <v>80</v>
      </c>
      <c r="K28" s="5" t="s">
        <v>81</v>
      </c>
      <c r="L28" s="6">
        <v>38566</v>
      </c>
    </row>
    <row r="29" spans="1:12" x14ac:dyDescent="0.25">
      <c r="A29" s="5">
        <v>28</v>
      </c>
      <c r="B29" s="5" t="s">
        <v>98</v>
      </c>
      <c r="C29" s="5" t="s">
        <v>75</v>
      </c>
      <c r="D29" s="5" t="s">
        <v>47</v>
      </c>
      <c r="E29" s="5" t="s">
        <v>131</v>
      </c>
      <c r="F29" s="5" t="s">
        <v>99</v>
      </c>
      <c r="G29" s="5">
        <v>7806633901</v>
      </c>
      <c r="H29" s="5" t="s">
        <v>164</v>
      </c>
      <c r="I29" s="5" t="s">
        <v>158</v>
      </c>
      <c r="J29" s="5" t="s">
        <v>80</v>
      </c>
      <c r="K29" s="5" t="s">
        <v>105</v>
      </c>
      <c r="L29" s="6">
        <v>38542</v>
      </c>
    </row>
    <row r="30" spans="1:12" x14ac:dyDescent="0.25">
      <c r="A30" s="5">
        <v>29</v>
      </c>
      <c r="B30" s="5" t="s">
        <v>165</v>
      </c>
      <c r="C30" s="5" t="s">
        <v>83</v>
      </c>
      <c r="D30" s="5" t="s">
        <v>47</v>
      </c>
      <c r="E30" s="5" t="s">
        <v>131</v>
      </c>
      <c r="F30" s="5" t="s">
        <v>166</v>
      </c>
      <c r="G30" s="5">
        <v>8529114555</v>
      </c>
      <c r="H30" s="5" t="s">
        <v>167</v>
      </c>
      <c r="I30" s="5" t="s">
        <v>158</v>
      </c>
      <c r="J30" s="5" t="s">
        <v>80</v>
      </c>
      <c r="K30" s="5" t="s">
        <v>105</v>
      </c>
      <c r="L30" s="6">
        <v>38414</v>
      </c>
    </row>
    <row r="31" spans="1:12" x14ac:dyDescent="0.25">
      <c r="A31" s="5">
        <v>30</v>
      </c>
      <c r="B31" s="5" t="s">
        <v>168</v>
      </c>
      <c r="C31" s="5" t="s">
        <v>75</v>
      </c>
      <c r="D31" s="5" t="s">
        <v>47</v>
      </c>
      <c r="E31" s="5" t="s">
        <v>76</v>
      </c>
      <c r="F31" s="5" t="s">
        <v>169</v>
      </c>
      <c r="G31" s="5">
        <v>9186121754</v>
      </c>
      <c r="H31" s="5" t="s">
        <v>170</v>
      </c>
      <c r="I31" s="5" t="s">
        <v>158</v>
      </c>
      <c r="J31" s="5" t="s">
        <v>80</v>
      </c>
      <c r="K31" s="5" t="s">
        <v>81</v>
      </c>
      <c r="L31" s="6">
        <v>38607</v>
      </c>
    </row>
    <row r="32" spans="1:12" x14ac:dyDescent="0.25">
      <c r="A32" s="5">
        <v>31</v>
      </c>
      <c r="B32" s="5" t="s">
        <v>171</v>
      </c>
      <c r="C32" s="5" t="s">
        <v>83</v>
      </c>
      <c r="D32" s="5" t="s">
        <v>47</v>
      </c>
      <c r="E32" s="5" t="s">
        <v>87</v>
      </c>
      <c r="F32" s="5" t="s">
        <v>172</v>
      </c>
      <c r="G32" s="5">
        <v>8722367410</v>
      </c>
      <c r="H32" s="5" t="s">
        <v>173</v>
      </c>
      <c r="I32" s="5" t="s">
        <v>158</v>
      </c>
      <c r="J32" s="5" t="s">
        <v>129</v>
      </c>
      <c r="K32" s="5" t="s">
        <v>90</v>
      </c>
      <c r="L32" s="6">
        <v>38368</v>
      </c>
    </row>
    <row r="33" spans="1:12" x14ac:dyDescent="0.25">
      <c r="A33" s="5">
        <v>32</v>
      </c>
      <c r="B33" s="5" t="s">
        <v>174</v>
      </c>
      <c r="C33" s="5" t="s">
        <v>83</v>
      </c>
      <c r="D33" s="5" t="s">
        <v>47</v>
      </c>
      <c r="E33" s="5" t="s">
        <v>126</v>
      </c>
      <c r="F33" s="5" t="s">
        <v>175</v>
      </c>
      <c r="G33" s="5">
        <v>7460753612</v>
      </c>
      <c r="H33" s="5" t="s">
        <v>176</v>
      </c>
      <c r="I33" s="5" t="s">
        <v>158</v>
      </c>
      <c r="J33" s="5" t="s">
        <v>80</v>
      </c>
      <c r="K33" s="5" t="s">
        <v>90</v>
      </c>
      <c r="L33" s="6">
        <v>38489</v>
      </c>
    </row>
    <row r="34" spans="1:12" x14ac:dyDescent="0.25">
      <c r="A34" s="5">
        <v>33</v>
      </c>
      <c r="B34" s="5" t="s">
        <v>177</v>
      </c>
      <c r="C34" s="5" t="s">
        <v>75</v>
      </c>
      <c r="D34" s="5" t="s">
        <v>47</v>
      </c>
      <c r="E34" s="5" t="s">
        <v>87</v>
      </c>
      <c r="F34" s="5" t="s">
        <v>178</v>
      </c>
      <c r="G34" s="5">
        <v>6866082912</v>
      </c>
      <c r="H34" s="5" t="s">
        <v>179</v>
      </c>
      <c r="I34" s="5" t="s">
        <v>158</v>
      </c>
      <c r="J34" s="5" t="s">
        <v>80</v>
      </c>
      <c r="K34" s="5" t="s">
        <v>90</v>
      </c>
      <c r="L34" s="6">
        <v>38675</v>
      </c>
    </row>
    <row r="35" spans="1:12" x14ac:dyDescent="0.25">
      <c r="A35" s="5">
        <v>34</v>
      </c>
      <c r="B35" s="5" t="s">
        <v>180</v>
      </c>
      <c r="C35" s="5" t="s">
        <v>83</v>
      </c>
      <c r="D35" s="5" t="s">
        <v>47</v>
      </c>
      <c r="E35" s="5" t="s">
        <v>117</v>
      </c>
      <c r="F35" s="5" t="s">
        <v>181</v>
      </c>
      <c r="G35" s="5">
        <v>9811671659</v>
      </c>
      <c r="H35" s="5" t="s">
        <v>182</v>
      </c>
      <c r="I35" s="5" t="s">
        <v>158</v>
      </c>
      <c r="J35" s="5" t="s">
        <v>80</v>
      </c>
      <c r="K35" s="5" t="s">
        <v>90</v>
      </c>
      <c r="L35" s="6">
        <v>38362</v>
      </c>
    </row>
    <row r="36" spans="1:12" x14ac:dyDescent="0.25">
      <c r="A36" s="5">
        <v>35</v>
      </c>
      <c r="B36" s="5" t="s">
        <v>183</v>
      </c>
      <c r="C36" s="5" t="s">
        <v>83</v>
      </c>
      <c r="D36" s="5" t="s">
        <v>47</v>
      </c>
      <c r="E36" s="5" t="s">
        <v>184</v>
      </c>
      <c r="F36" s="5" t="s">
        <v>185</v>
      </c>
      <c r="G36" s="5">
        <v>6087046464</v>
      </c>
      <c r="H36" s="5" t="s">
        <v>186</v>
      </c>
      <c r="I36" s="5" t="s">
        <v>158</v>
      </c>
      <c r="J36" s="5" t="s">
        <v>80</v>
      </c>
      <c r="K36" s="5" t="s">
        <v>90</v>
      </c>
      <c r="L36" s="6">
        <v>38372</v>
      </c>
    </row>
    <row r="37" spans="1:12" x14ac:dyDescent="0.25">
      <c r="A37" s="5">
        <v>36</v>
      </c>
      <c r="B37" s="5" t="s">
        <v>187</v>
      </c>
      <c r="C37" s="5" t="s">
        <v>83</v>
      </c>
      <c r="D37" s="5" t="s">
        <v>47</v>
      </c>
      <c r="E37" s="5" t="s">
        <v>76</v>
      </c>
      <c r="F37" s="5" t="s">
        <v>188</v>
      </c>
      <c r="G37" s="5">
        <v>9695175505</v>
      </c>
      <c r="H37" s="5" t="s">
        <v>189</v>
      </c>
      <c r="I37" s="5" t="s">
        <v>158</v>
      </c>
      <c r="J37" s="5" t="s">
        <v>80</v>
      </c>
      <c r="K37" s="5" t="s">
        <v>81</v>
      </c>
      <c r="L37" s="6">
        <v>38437</v>
      </c>
    </row>
    <row r="38" spans="1:12" x14ac:dyDescent="0.25">
      <c r="A38" s="5">
        <v>37</v>
      </c>
      <c r="B38" s="5" t="s">
        <v>95</v>
      </c>
      <c r="C38" s="5" t="s">
        <v>83</v>
      </c>
      <c r="D38" s="5" t="s">
        <v>47</v>
      </c>
      <c r="E38" s="5" t="s">
        <v>184</v>
      </c>
      <c r="F38" s="5" t="s">
        <v>96</v>
      </c>
      <c r="G38" s="5">
        <v>7891443000</v>
      </c>
      <c r="H38" s="5" t="s">
        <v>190</v>
      </c>
      <c r="I38" s="5" t="s">
        <v>158</v>
      </c>
      <c r="J38" s="5" t="s">
        <v>80</v>
      </c>
      <c r="K38" s="5" t="s">
        <v>90</v>
      </c>
      <c r="L38" s="6">
        <v>38436</v>
      </c>
    </row>
    <row r="39" spans="1:12" x14ac:dyDescent="0.25">
      <c r="A39" s="5">
        <v>38</v>
      </c>
      <c r="B39" s="5" t="s">
        <v>191</v>
      </c>
      <c r="C39" s="5" t="s">
        <v>83</v>
      </c>
      <c r="D39" s="5" t="s">
        <v>47</v>
      </c>
      <c r="E39" s="5" t="s">
        <v>131</v>
      </c>
      <c r="F39" s="5" t="s">
        <v>192</v>
      </c>
      <c r="G39" s="5">
        <v>9715922150</v>
      </c>
      <c r="H39" s="5" t="s">
        <v>193</v>
      </c>
      <c r="I39" s="5" t="s">
        <v>158</v>
      </c>
      <c r="J39" s="5" t="s">
        <v>80</v>
      </c>
      <c r="K39" s="5" t="s">
        <v>105</v>
      </c>
      <c r="L39" s="6">
        <v>38623</v>
      </c>
    </row>
    <row r="40" spans="1:12" x14ac:dyDescent="0.25">
      <c r="A40" s="5">
        <v>39</v>
      </c>
      <c r="B40" s="5" t="s">
        <v>171</v>
      </c>
      <c r="C40" s="5" t="s">
        <v>75</v>
      </c>
      <c r="D40" s="5" t="s">
        <v>47</v>
      </c>
      <c r="E40" s="5" t="s">
        <v>109</v>
      </c>
      <c r="F40" s="5" t="s">
        <v>172</v>
      </c>
      <c r="G40" s="5">
        <v>8156172249</v>
      </c>
      <c r="H40" s="5" t="s">
        <v>194</v>
      </c>
      <c r="I40" s="5" t="s">
        <v>158</v>
      </c>
      <c r="J40" s="5" t="s">
        <v>80</v>
      </c>
      <c r="K40" s="5" t="s">
        <v>81</v>
      </c>
      <c r="L40" s="6">
        <v>38489</v>
      </c>
    </row>
    <row r="41" spans="1:12" x14ac:dyDescent="0.25">
      <c r="A41" s="5">
        <v>40</v>
      </c>
      <c r="B41" s="5" t="s">
        <v>195</v>
      </c>
      <c r="C41" s="5" t="s">
        <v>83</v>
      </c>
      <c r="D41" s="5" t="s">
        <v>47</v>
      </c>
      <c r="E41" s="5" t="s">
        <v>109</v>
      </c>
      <c r="F41" s="5" t="s">
        <v>196</v>
      </c>
      <c r="G41" s="5">
        <v>9468827036</v>
      </c>
      <c r="H41" s="5" t="s">
        <v>197</v>
      </c>
      <c r="I41" s="5" t="s">
        <v>158</v>
      </c>
      <c r="J41" s="5" t="s">
        <v>80</v>
      </c>
      <c r="K41" s="5" t="s">
        <v>81</v>
      </c>
      <c r="L41" s="6">
        <v>38415</v>
      </c>
    </row>
    <row r="42" spans="1:12" x14ac:dyDescent="0.25">
      <c r="A42" s="5">
        <v>41</v>
      </c>
      <c r="B42" s="5" t="s">
        <v>198</v>
      </c>
      <c r="C42" s="5" t="s">
        <v>83</v>
      </c>
      <c r="D42" s="5" t="s">
        <v>47</v>
      </c>
      <c r="E42" s="5" t="s">
        <v>135</v>
      </c>
      <c r="F42" s="5" t="s">
        <v>199</v>
      </c>
      <c r="G42" s="5">
        <v>7791157687</v>
      </c>
      <c r="H42" s="5" t="s">
        <v>200</v>
      </c>
      <c r="I42" s="5" t="s">
        <v>158</v>
      </c>
      <c r="J42" s="5" t="s">
        <v>80</v>
      </c>
      <c r="K42" s="5" t="s">
        <v>81</v>
      </c>
      <c r="L42" s="6">
        <v>38463</v>
      </c>
    </row>
    <row r="43" spans="1:12" x14ac:dyDescent="0.25">
      <c r="A43" s="5">
        <v>42</v>
      </c>
      <c r="B43" s="5" t="s">
        <v>161</v>
      </c>
      <c r="C43" s="5" t="s">
        <v>83</v>
      </c>
      <c r="D43" s="5" t="s">
        <v>47</v>
      </c>
      <c r="E43" s="5" t="s">
        <v>87</v>
      </c>
      <c r="F43" s="5" t="s">
        <v>162</v>
      </c>
      <c r="G43" s="5">
        <v>6932876338</v>
      </c>
      <c r="H43" s="5" t="s">
        <v>201</v>
      </c>
      <c r="I43" s="5" t="s">
        <v>158</v>
      </c>
      <c r="J43" s="5" t="s">
        <v>80</v>
      </c>
      <c r="K43" s="5" t="s">
        <v>90</v>
      </c>
      <c r="L43" s="6">
        <v>38713</v>
      </c>
    </row>
    <row r="44" spans="1:12" x14ac:dyDescent="0.25">
      <c r="A44" s="5">
        <v>43</v>
      </c>
      <c r="B44" s="5" t="s">
        <v>180</v>
      </c>
      <c r="C44" s="5" t="s">
        <v>83</v>
      </c>
      <c r="D44" s="5" t="s">
        <v>47</v>
      </c>
      <c r="E44" s="5" t="s">
        <v>76</v>
      </c>
      <c r="F44" s="5" t="s">
        <v>181</v>
      </c>
      <c r="G44" s="5">
        <v>9357312953</v>
      </c>
      <c r="H44" s="5" t="s">
        <v>202</v>
      </c>
      <c r="I44" s="5" t="s">
        <v>158</v>
      </c>
      <c r="J44" s="5" t="s">
        <v>80</v>
      </c>
      <c r="K44" s="5" t="s">
        <v>81</v>
      </c>
      <c r="L44" s="6">
        <v>38476</v>
      </c>
    </row>
    <row r="45" spans="1:12" x14ac:dyDescent="0.25">
      <c r="A45" s="5">
        <v>44</v>
      </c>
      <c r="B45" s="5" t="s">
        <v>203</v>
      </c>
      <c r="C45" s="5" t="s">
        <v>75</v>
      </c>
      <c r="D45" s="5" t="s">
        <v>47</v>
      </c>
      <c r="E45" s="5" t="s">
        <v>117</v>
      </c>
      <c r="F45" s="5" t="s">
        <v>204</v>
      </c>
      <c r="G45" s="5">
        <v>6031313923</v>
      </c>
      <c r="H45" s="5" t="s">
        <v>205</v>
      </c>
      <c r="I45" s="5" t="s">
        <v>206</v>
      </c>
      <c r="J45" s="5" t="s">
        <v>80</v>
      </c>
      <c r="K45" s="5" t="s">
        <v>90</v>
      </c>
      <c r="L45" s="6">
        <v>38869</v>
      </c>
    </row>
    <row r="46" spans="1:12" x14ac:dyDescent="0.25">
      <c r="A46" s="5">
        <v>45</v>
      </c>
      <c r="B46" s="5" t="s">
        <v>74</v>
      </c>
      <c r="C46" s="5" t="s">
        <v>83</v>
      </c>
      <c r="D46" s="5" t="s">
        <v>47</v>
      </c>
      <c r="E46" s="5" t="s">
        <v>135</v>
      </c>
      <c r="F46" s="5" t="s">
        <v>77</v>
      </c>
      <c r="G46" s="5">
        <v>9328442757</v>
      </c>
      <c r="H46" s="5" t="s">
        <v>207</v>
      </c>
      <c r="I46" s="5" t="s">
        <v>206</v>
      </c>
      <c r="J46" s="5" t="s">
        <v>112</v>
      </c>
      <c r="K46" s="5" t="s">
        <v>81</v>
      </c>
      <c r="L46" s="6">
        <v>38744</v>
      </c>
    </row>
    <row r="47" spans="1:12" x14ac:dyDescent="0.25">
      <c r="A47" s="5">
        <v>46</v>
      </c>
      <c r="B47" s="5" t="s">
        <v>208</v>
      </c>
      <c r="C47" s="5" t="s">
        <v>75</v>
      </c>
      <c r="D47" s="5" t="s">
        <v>47</v>
      </c>
      <c r="E47" s="5" t="s">
        <v>184</v>
      </c>
      <c r="F47" s="5" t="s">
        <v>209</v>
      </c>
      <c r="G47" s="5">
        <v>6580115999</v>
      </c>
      <c r="H47" s="5" t="s">
        <v>210</v>
      </c>
      <c r="I47" s="5" t="s">
        <v>206</v>
      </c>
      <c r="J47" s="5" t="s">
        <v>80</v>
      </c>
      <c r="K47" s="5" t="s">
        <v>90</v>
      </c>
      <c r="L47" s="6">
        <v>38851</v>
      </c>
    </row>
    <row r="48" spans="1:12" x14ac:dyDescent="0.25">
      <c r="A48" s="5">
        <v>47</v>
      </c>
      <c r="B48" s="5" t="s">
        <v>174</v>
      </c>
      <c r="C48" s="5" t="s">
        <v>75</v>
      </c>
      <c r="D48" s="5" t="s">
        <v>47</v>
      </c>
      <c r="E48" s="5" t="s">
        <v>135</v>
      </c>
      <c r="F48" s="5" t="s">
        <v>175</v>
      </c>
      <c r="G48" s="5">
        <v>9232608537</v>
      </c>
      <c r="H48" s="5" t="s">
        <v>211</v>
      </c>
      <c r="I48" s="5" t="s">
        <v>206</v>
      </c>
      <c r="J48" s="5" t="s">
        <v>159</v>
      </c>
      <c r="K48" s="5" t="s">
        <v>81</v>
      </c>
      <c r="L48" s="6">
        <v>39072</v>
      </c>
    </row>
    <row r="49" spans="1:12" x14ac:dyDescent="0.25">
      <c r="A49" s="5">
        <v>48</v>
      </c>
      <c r="B49" s="5" t="s">
        <v>212</v>
      </c>
      <c r="C49" s="5" t="s">
        <v>83</v>
      </c>
      <c r="D49" s="5" t="s">
        <v>47</v>
      </c>
      <c r="E49" s="5" t="s">
        <v>184</v>
      </c>
      <c r="F49" s="5" t="s">
        <v>213</v>
      </c>
      <c r="G49" s="5">
        <v>8584395619</v>
      </c>
      <c r="H49" s="5" t="s">
        <v>214</v>
      </c>
      <c r="I49" s="5" t="s">
        <v>206</v>
      </c>
      <c r="J49" s="5" t="s">
        <v>80</v>
      </c>
      <c r="K49" s="5" t="s">
        <v>90</v>
      </c>
      <c r="L49" s="6">
        <v>39025</v>
      </c>
    </row>
    <row r="50" spans="1:12" x14ac:dyDescent="0.25">
      <c r="A50" s="5">
        <v>49</v>
      </c>
      <c r="B50" s="5" t="s">
        <v>215</v>
      </c>
      <c r="C50" s="5" t="s">
        <v>83</v>
      </c>
      <c r="D50" s="5" t="s">
        <v>47</v>
      </c>
      <c r="E50" s="5" t="s">
        <v>87</v>
      </c>
      <c r="F50" s="5" t="s">
        <v>216</v>
      </c>
      <c r="G50" s="5">
        <v>9818291832</v>
      </c>
      <c r="H50" s="5" t="s">
        <v>217</v>
      </c>
      <c r="I50" s="5" t="s">
        <v>206</v>
      </c>
      <c r="J50" s="5" t="s">
        <v>80</v>
      </c>
      <c r="K50" s="5" t="s">
        <v>90</v>
      </c>
      <c r="L50" s="6">
        <v>39022</v>
      </c>
    </row>
    <row r="51" spans="1:12" x14ac:dyDescent="0.25">
      <c r="A51" s="5">
        <v>50</v>
      </c>
      <c r="B51" s="5" t="s">
        <v>218</v>
      </c>
      <c r="C51" s="5" t="s">
        <v>75</v>
      </c>
      <c r="D51" s="5" t="s">
        <v>47</v>
      </c>
      <c r="E51" s="5" t="s">
        <v>117</v>
      </c>
      <c r="F51" s="5" t="s">
        <v>219</v>
      </c>
      <c r="G51" s="5">
        <v>6187246347</v>
      </c>
      <c r="H51" s="5" t="s">
        <v>220</v>
      </c>
      <c r="I51" s="5" t="s">
        <v>206</v>
      </c>
      <c r="J51" s="5" t="s">
        <v>80</v>
      </c>
      <c r="K51" s="5" t="s">
        <v>90</v>
      </c>
      <c r="L51" s="6">
        <v>38869</v>
      </c>
    </row>
    <row r="52" spans="1:12" x14ac:dyDescent="0.25">
      <c r="A52" s="5">
        <v>51</v>
      </c>
      <c r="B52" s="5" t="s">
        <v>221</v>
      </c>
      <c r="C52" s="5" t="s">
        <v>83</v>
      </c>
      <c r="D52" s="5" t="s">
        <v>47</v>
      </c>
      <c r="E52" s="5" t="s">
        <v>92</v>
      </c>
      <c r="F52" s="5" t="s">
        <v>222</v>
      </c>
      <c r="G52" s="5">
        <v>8760581214</v>
      </c>
      <c r="H52" s="5" t="s">
        <v>223</v>
      </c>
      <c r="I52" s="5" t="s">
        <v>206</v>
      </c>
      <c r="J52" s="5" t="s">
        <v>80</v>
      </c>
      <c r="K52" s="5" t="s">
        <v>81</v>
      </c>
      <c r="L52" s="6">
        <v>38721</v>
      </c>
    </row>
    <row r="53" spans="1:12" x14ac:dyDescent="0.25">
      <c r="A53" s="5">
        <v>52</v>
      </c>
      <c r="B53" s="5" t="s">
        <v>141</v>
      </c>
      <c r="C53" s="5" t="s">
        <v>83</v>
      </c>
      <c r="D53" s="5" t="s">
        <v>47</v>
      </c>
      <c r="E53" s="5" t="s">
        <v>224</v>
      </c>
      <c r="F53" s="5" t="s">
        <v>142</v>
      </c>
      <c r="G53" s="5">
        <v>9196140991</v>
      </c>
      <c r="H53" s="5" t="s">
        <v>225</v>
      </c>
      <c r="I53" s="5" t="s">
        <v>206</v>
      </c>
      <c r="J53" s="5" t="s">
        <v>80</v>
      </c>
      <c r="K53" s="5" t="s">
        <v>105</v>
      </c>
      <c r="L53" s="6">
        <v>39078</v>
      </c>
    </row>
    <row r="54" spans="1:12" x14ac:dyDescent="0.25">
      <c r="A54" s="5">
        <v>53</v>
      </c>
      <c r="B54" s="5" t="s">
        <v>8</v>
      </c>
      <c r="C54" s="5" t="s">
        <v>83</v>
      </c>
      <c r="D54" s="5" t="s">
        <v>47</v>
      </c>
      <c r="E54" s="5" t="s">
        <v>131</v>
      </c>
      <c r="F54" s="5" t="s">
        <v>226</v>
      </c>
      <c r="G54" s="5">
        <v>7178879043</v>
      </c>
      <c r="H54" s="5" t="s">
        <v>89</v>
      </c>
      <c r="I54" s="5" t="s">
        <v>206</v>
      </c>
      <c r="J54" s="5" t="s">
        <v>112</v>
      </c>
      <c r="K54" s="5" t="s">
        <v>105</v>
      </c>
      <c r="L54" s="6">
        <v>38803</v>
      </c>
    </row>
    <row r="55" spans="1:12" x14ac:dyDescent="0.25">
      <c r="A55" s="5">
        <v>54</v>
      </c>
      <c r="B55" s="5" t="s">
        <v>151</v>
      </c>
      <c r="C55" s="5" t="s">
        <v>83</v>
      </c>
      <c r="D55" s="5" t="s">
        <v>47</v>
      </c>
      <c r="E55" s="5" t="s">
        <v>184</v>
      </c>
      <c r="F55" s="5" t="s">
        <v>152</v>
      </c>
      <c r="G55" s="5">
        <v>8057098920</v>
      </c>
      <c r="H55" s="5" t="s">
        <v>227</v>
      </c>
      <c r="I55" s="5" t="s">
        <v>206</v>
      </c>
      <c r="J55" s="5" t="s">
        <v>80</v>
      </c>
      <c r="K55" s="5" t="s">
        <v>90</v>
      </c>
      <c r="L55" s="6">
        <v>38884</v>
      </c>
    </row>
    <row r="56" spans="1:12" x14ac:dyDescent="0.25">
      <c r="A56" s="5">
        <v>55</v>
      </c>
      <c r="B56" s="5" t="s">
        <v>228</v>
      </c>
      <c r="C56" s="5" t="s">
        <v>75</v>
      </c>
      <c r="D56" s="5" t="s">
        <v>47</v>
      </c>
      <c r="E56" s="5" t="s">
        <v>126</v>
      </c>
      <c r="F56" s="5" t="s">
        <v>229</v>
      </c>
      <c r="G56" s="5">
        <v>8798692069</v>
      </c>
      <c r="H56" s="5" t="s">
        <v>160</v>
      </c>
      <c r="I56" s="5" t="s">
        <v>206</v>
      </c>
      <c r="J56" s="5" t="s">
        <v>129</v>
      </c>
      <c r="K56" s="5" t="s">
        <v>90</v>
      </c>
      <c r="L56" s="6">
        <v>38883</v>
      </c>
    </row>
    <row r="57" spans="1:12" x14ac:dyDescent="0.25">
      <c r="A57" s="5">
        <v>56</v>
      </c>
      <c r="B57" s="5" t="s">
        <v>230</v>
      </c>
      <c r="C57" s="5" t="s">
        <v>75</v>
      </c>
      <c r="D57" s="5" t="s">
        <v>47</v>
      </c>
      <c r="E57" s="5" t="s">
        <v>117</v>
      </c>
      <c r="F57" s="5" t="s">
        <v>231</v>
      </c>
      <c r="G57" s="5">
        <v>8710993538</v>
      </c>
      <c r="H57" s="5" t="s">
        <v>232</v>
      </c>
      <c r="I57" s="5" t="s">
        <v>206</v>
      </c>
      <c r="J57" s="5" t="s">
        <v>80</v>
      </c>
      <c r="K57" s="5" t="s">
        <v>90</v>
      </c>
      <c r="L57" s="6">
        <v>39010</v>
      </c>
    </row>
    <row r="58" spans="1:12" x14ac:dyDescent="0.25">
      <c r="A58" s="5">
        <v>57</v>
      </c>
      <c r="B58" s="5" t="s">
        <v>233</v>
      </c>
      <c r="C58" s="5" t="s">
        <v>75</v>
      </c>
      <c r="D58" s="5" t="s">
        <v>47</v>
      </c>
      <c r="E58" s="5" t="s">
        <v>135</v>
      </c>
      <c r="F58" s="5" t="s">
        <v>234</v>
      </c>
      <c r="G58" s="5">
        <v>8561805880</v>
      </c>
      <c r="H58" s="5" t="s">
        <v>235</v>
      </c>
      <c r="I58" s="5" t="s">
        <v>206</v>
      </c>
      <c r="J58" s="5" t="s">
        <v>80</v>
      </c>
      <c r="K58" s="5" t="s">
        <v>81</v>
      </c>
      <c r="L58" s="6">
        <v>38931</v>
      </c>
    </row>
    <row r="59" spans="1:12" x14ac:dyDescent="0.25">
      <c r="A59" s="5">
        <v>58</v>
      </c>
      <c r="B59" s="5" t="s">
        <v>230</v>
      </c>
      <c r="C59" s="5" t="s">
        <v>83</v>
      </c>
      <c r="D59" s="5" t="s">
        <v>47</v>
      </c>
      <c r="E59" s="5" t="s">
        <v>126</v>
      </c>
      <c r="F59" s="5" t="s">
        <v>231</v>
      </c>
      <c r="G59" s="5">
        <v>8029896035</v>
      </c>
      <c r="H59" s="5" t="s">
        <v>163</v>
      </c>
      <c r="I59" s="5" t="s">
        <v>206</v>
      </c>
      <c r="J59" s="5" t="s">
        <v>80</v>
      </c>
      <c r="K59" s="5" t="s">
        <v>90</v>
      </c>
      <c r="L59" s="6">
        <v>38889</v>
      </c>
    </row>
    <row r="60" spans="1:12" x14ac:dyDescent="0.25">
      <c r="A60" s="5">
        <v>59</v>
      </c>
      <c r="B60" s="5" t="s">
        <v>236</v>
      </c>
      <c r="C60" s="5" t="s">
        <v>75</v>
      </c>
      <c r="D60" s="5" t="s">
        <v>47</v>
      </c>
      <c r="E60" s="5" t="s">
        <v>117</v>
      </c>
      <c r="F60" s="5" t="s">
        <v>237</v>
      </c>
      <c r="G60" s="5">
        <v>9484194185</v>
      </c>
      <c r="H60" s="5" t="s">
        <v>238</v>
      </c>
      <c r="I60" s="5" t="s">
        <v>206</v>
      </c>
      <c r="J60" s="5" t="s">
        <v>112</v>
      </c>
      <c r="K60" s="5" t="s">
        <v>90</v>
      </c>
      <c r="L60" s="6">
        <v>38790</v>
      </c>
    </row>
    <row r="61" spans="1:12" x14ac:dyDescent="0.25">
      <c r="A61" s="5">
        <v>60</v>
      </c>
      <c r="B61" s="5" t="s">
        <v>239</v>
      </c>
      <c r="C61" s="5" t="s">
        <v>75</v>
      </c>
      <c r="D61" s="5" t="s">
        <v>47</v>
      </c>
      <c r="E61" s="5" t="s">
        <v>117</v>
      </c>
      <c r="F61" s="5" t="s">
        <v>240</v>
      </c>
      <c r="G61" s="5">
        <v>9929093125</v>
      </c>
      <c r="H61" s="5" t="s">
        <v>241</v>
      </c>
      <c r="I61" s="5" t="s">
        <v>206</v>
      </c>
      <c r="J61" s="5" t="s">
        <v>129</v>
      </c>
      <c r="K61" s="5" t="s">
        <v>90</v>
      </c>
      <c r="L61" s="6">
        <v>38771</v>
      </c>
    </row>
    <row r="62" spans="1:12" x14ac:dyDescent="0.25">
      <c r="A62" s="5">
        <v>61</v>
      </c>
      <c r="B62" s="5" t="s">
        <v>242</v>
      </c>
      <c r="C62" s="5" t="s">
        <v>83</v>
      </c>
      <c r="D62" s="5" t="s">
        <v>47</v>
      </c>
      <c r="E62" s="5" t="s">
        <v>92</v>
      </c>
      <c r="F62" s="5" t="s">
        <v>243</v>
      </c>
      <c r="G62" s="5">
        <v>6590227337</v>
      </c>
      <c r="H62" s="5" t="s">
        <v>244</v>
      </c>
      <c r="I62" s="5" t="s">
        <v>206</v>
      </c>
      <c r="J62" s="5" t="s">
        <v>80</v>
      </c>
      <c r="K62" s="5" t="s">
        <v>81</v>
      </c>
      <c r="L62" s="6">
        <v>38918</v>
      </c>
    </row>
    <row r="63" spans="1:12" x14ac:dyDescent="0.25">
      <c r="A63" s="5">
        <v>62</v>
      </c>
      <c r="B63" s="5" t="s">
        <v>203</v>
      </c>
      <c r="C63" s="5" t="s">
        <v>75</v>
      </c>
      <c r="D63" s="5" t="s">
        <v>47</v>
      </c>
      <c r="E63" s="5" t="s">
        <v>135</v>
      </c>
      <c r="F63" s="5" t="s">
        <v>204</v>
      </c>
      <c r="G63" s="5">
        <v>8967691531</v>
      </c>
      <c r="H63" s="5" t="s">
        <v>245</v>
      </c>
      <c r="I63" s="5" t="s">
        <v>206</v>
      </c>
      <c r="J63" s="5" t="s">
        <v>80</v>
      </c>
      <c r="K63" s="5" t="s">
        <v>81</v>
      </c>
      <c r="L63" s="6">
        <v>38949</v>
      </c>
    </row>
    <row r="64" spans="1:12" x14ac:dyDescent="0.25">
      <c r="A64" s="5">
        <v>63</v>
      </c>
      <c r="B64" s="5" t="s">
        <v>180</v>
      </c>
      <c r="C64" s="5" t="s">
        <v>83</v>
      </c>
      <c r="D64" s="5" t="s">
        <v>47</v>
      </c>
      <c r="E64" s="5" t="s">
        <v>76</v>
      </c>
      <c r="F64" s="5" t="s">
        <v>181</v>
      </c>
      <c r="G64" s="5">
        <v>7479011178</v>
      </c>
      <c r="H64" s="5" t="s">
        <v>246</v>
      </c>
      <c r="I64" s="5" t="s">
        <v>247</v>
      </c>
      <c r="J64" s="5" t="s">
        <v>112</v>
      </c>
      <c r="K64" s="5" t="s">
        <v>81</v>
      </c>
      <c r="L64" s="6">
        <v>39209</v>
      </c>
    </row>
    <row r="65" spans="1:12" x14ac:dyDescent="0.25">
      <c r="A65" s="5">
        <v>64</v>
      </c>
      <c r="B65" s="5" t="s">
        <v>174</v>
      </c>
      <c r="C65" s="5" t="s">
        <v>75</v>
      </c>
      <c r="D65" s="5" t="s">
        <v>47</v>
      </c>
      <c r="E65" s="5" t="s">
        <v>76</v>
      </c>
      <c r="F65" s="5" t="s">
        <v>175</v>
      </c>
      <c r="G65" s="5">
        <v>8723611895</v>
      </c>
      <c r="H65" s="5" t="s">
        <v>248</v>
      </c>
      <c r="I65" s="5" t="s">
        <v>247</v>
      </c>
      <c r="J65" s="5" t="s">
        <v>112</v>
      </c>
      <c r="K65" s="5" t="s">
        <v>81</v>
      </c>
      <c r="L65" s="6">
        <v>39378</v>
      </c>
    </row>
    <row r="66" spans="1:12" x14ac:dyDescent="0.25">
      <c r="A66" s="5">
        <v>65</v>
      </c>
      <c r="B66" s="5" t="s">
        <v>144</v>
      </c>
      <c r="C66" s="5" t="s">
        <v>83</v>
      </c>
      <c r="D66" s="5" t="s">
        <v>47</v>
      </c>
      <c r="E66" s="5" t="s">
        <v>92</v>
      </c>
      <c r="F66" s="5" t="s">
        <v>145</v>
      </c>
      <c r="G66" s="5">
        <v>9599637903</v>
      </c>
      <c r="H66" s="5" t="s">
        <v>249</v>
      </c>
      <c r="I66" s="5" t="s">
        <v>247</v>
      </c>
      <c r="J66" s="5" t="s">
        <v>112</v>
      </c>
      <c r="K66" s="5" t="s">
        <v>81</v>
      </c>
      <c r="L66" s="6">
        <v>39221</v>
      </c>
    </row>
    <row r="67" spans="1:12" x14ac:dyDescent="0.25">
      <c r="A67" s="5">
        <v>66</v>
      </c>
      <c r="B67" s="5" t="s">
        <v>98</v>
      </c>
      <c r="C67" s="5" t="s">
        <v>83</v>
      </c>
      <c r="D67" s="5" t="s">
        <v>47</v>
      </c>
      <c r="E67" s="5" t="s">
        <v>109</v>
      </c>
      <c r="F67" s="5" t="s">
        <v>99</v>
      </c>
      <c r="G67" s="5">
        <v>6230373267</v>
      </c>
      <c r="H67" s="5" t="s">
        <v>250</v>
      </c>
      <c r="I67" s="5" t="s">
        <v>247</v>
      </c>
      <c r="J67" s="5" t="s">
        <v>80</v>
      </c>
      <c r="K67" s="5" t="s">
        <v>81</v>
      </c>
      <c r="L67" s="6">
        <v>39148</v>
      </c>
    </row>
    <row r="68" spans="1:12" x14ac:dyDescent="0.25">
      <c r="A68" s="5">
        <v>67</v>
      </c>
      <c r="B68" s="5" t="s">
        <v>161</v>
      </c>
      <c r="C68" s="5" t="s">
        <v>83</v>
      </c>
      <c r="D68" s="5" t="s">
        <v>47</v>
      </c>
      <c r="E68" s="5" t="s">
        <v>76</v>
      </c>
      <c r="F68" s="5" t="s">
        <v>162</v>
      </c>
      <c r="G68" s="5">
        <v>8849987238</v>
      </c>
      <c r="H68" s="5" t="s">
        <v>251</v>
      </c>
      <c r="I68" s="5" t="s">
        <v>247</v>
      </c>
      <c r="J68" s="5" t="s">
        <v>80</v>
      </c>
      <c r="K68" s="5" t="s">
        <v>81</v>
      </c>
      <c r="L68" s="6">
        <v>39401</v>
      </c>
    </row>
    <row r="69" spans="1:12" x14ac:dyDescent="0.25">
      <c r="A69" s="5">
        <v>68</v>
      </c>
      <c r="B69" s="5" t="s">
        <v>221</v>
      </c>
      <c r="C69" s="5" t="s">
        <v>83</v>
      </c>
      <c r="D69" s="5" t="s">
        <v>47</v>
      </c>
      <c r="E69" s="5" t="s">
        <v>184</v>
      </c>
      <c r="F69" s="5" t="s">
        <v>222</v>
      </c>
      <c r="G69" s="5">
        <v>9594058506</v>
      </c>
      <c r="H69" s="5" t="s">
        <v>252</v>
      </c>
      <c r="I69" s="5" t="s">
        <v>247</v>
      </c>
      <c r="J69" s="5" t="s">
        <v>80</v>
      </c>
      <c r="K69" s="5" t="s">
        <v>90</v>
      </c>
      <c r="L69" s="6">
        <v>39309</v>
      </c>
    </row>
    <row r="70" spans="1:12" x14ac:dyDescent="0.25">
      <c r="A70" s="5">
        <v>69</v>
      </c>
      <c r="B70" s="5" t="s">
        <v>165</v>
      </c>
      <c r="C70" s="5" t="s">
        <v>83</v>
      </c>
      <c r="D70" s="5" t="s">
        <v>47</v>
      </c>
      <c r="E70" s="5" t="s">
        <v>184</v>
      </c>
      <c r="F70" s="5" t="s">
        <v>166</v>
      </c>
      <c r="G70" s="5">
        <v>9581627400</v>
      </c>
      <c r="H70" s="5" t="s">
        <v>253</v>
      </c>
      <c r="I70" s="5" t="s">
        <v>247</v>
      </c>
      <c r="J70" s="5" t="s">
        <v>80</v>
      </c>
      <c r="K70" s="5" t="s">
        <v>90</v>
      </c>
      <c r="L70" s="6">
        <v>39125</v>
      </c>
    </row>
    <row r="71" spans="1:12" x14ac:dyDescent="0.25">
      <c r="A71" s="5">
        <v>70</v>
      </c>
      <c r="B71" s="5" t="s">
        <v>183</v>
      </c>
      <c r="C71" s="5" t="s">
        <v>83</v>
      </c>
      <c r="D71" s="5" t="s">
        <v>47</v>
      </c>
      <c r="E71" s="5" t="s">
        <v>87</v>
      </c>
      <c r="F71" s="5" t="s">
        <v>185</v>
      </c>
      <c r="G71" s="5">
        <v>6460102752</v>
      </c>
      <c r="H71" s="5" t="s">
        <v>254</v>
      </c>
      <c r="I71" s="5" t="s">
        <v>247</v>
      </c>
      <c r="J71" s="5" t="s">
        <v>80</v>
      </c>
      <c r="K71" s="5" t="s">
        <v>90</v>
      </c>
      <c r="L71" s="6">
        <v>39346</v>
      </c>
    </row>
    <row r="72" spans="1:12" x14ac:dyDescent="0.25">
      <c r="A72" s="5">
        <v>71</v>
      </c>
      <c r="B72" s="5" t="s">
        <v>228</v>
      </c>
      <c r="C72" s="5" t="s">
        <v>83</v>
      </c>
      <c r="D72" s="5" t="s">
        <v>47</v>
      </c>
      <c r="E72" s="5" t="s">
        <v>109</v>
      </c>
      <c r="F72" s="5" t="s">
        <v>229</v>
      </c>
      <c r="G72" s="5">
        <v>7686663858</v>
      </c>
      <c r="H72" s="5" t="s">
        <v>238</v>
      </c>
      <c r="I72" s="5" t="s">
        <v>247</v>
      </c>
      <c r="J72" s="5" t="s">
        <v>80</v>
      </c>
      <c r="K72" s="5" t="s">
        <v>81</v>
      </c>
      <c r="L72" s="6">
        <v>39157</v>
      </c>
    </row>
    <row r="73" spans="1:12" x14ac:dyDescent="0.25">
      <c r="A73" s="5">
        <v>72</v>
      </c>
      <c r="B73" s="5" t="s">
        <v>208</v>
      </c>
      <c r="C73" s="5" t="s">
        <v>75</v>
      </c>
      <c r="D73" s="5" t="s">
        <v>47</v>
      </c>
      <c r="E73" s="5" t="s">
        <v>76</v>
      </c>
      <c r="F73" s="5" t="s">
        <v>209</v>
      </c>
      <c r="G73" s="5">
        <v>8258505987</v>
      </c>
      <c r="H73" s="5" t="s">
        <v>255</v>
      </c>
      <c r="I73" s="5" t="s">
        <v>247</v>
      </c>
      <c r="J73" s="5" t="s">
        <v>80</v>
      </c>
      <c r="K73" s="5" t="s">
        <v>81</v>
      </c>
      <c r="L73" s="6">
        <v>39146</v>
      </c>
    </row>
    <row r="74" spans="1:12" x14ac:dyDescent="0.25">
      <c r="A74" s="5">
        <v>73</v>
      </c>
      <c r="B74" s="5" t="s">
        <v>228</v>
      </c>
      <c r="C74" s="5" t="s">
        <v>83</v>
      </c>
      <c r="D74" s="5" t="s">
        <v>47</v>
      </c>
      <c r="E74" s="5" t="s">
        <v>117</v>
      </c>
      <c r="F74" s="5" t="s">
        <v>229</v>
      </c>
      <c r="G74" s="5">
        <v>9706479850</v>
      </c>
      <c r="H74" s="5" t="s">
        <v>256</v>
      </c>
      <c r="I74" s="5" t="s">
        <v>247</v>
      </c>
      <c r="J74" s="5" t="s">
        <v>80</v>
      </c>
      <c r="K74" s="5" t="s">
        <v>90</v>
      </c>
      <c r="L74" s="6">
        <v>39236</v>
      </c>
    </row>
    <row r="75" spans="1:12" x14ac:dyDescent="0.25">
      <c r="A75" s="5">
        <v>74</v>
      </c>
      <c r="B75" s="5" t="s">
        <v>195</v>
      </c>
      <c r="C75" s="5" t="s">
        <v>75</v>
      </c>
      <c r="D75" s="5" t="s">
        <v>47</v>
      </c>
      <c r="E75" s="5" t="s">
        <v>224</v>
      </c>
      <c r="F75" s="5" t="s">
        <v>196</v>
      </c>
      <c r="G75" s="5">
        <v>6165359210</v>
      </c>
      <c r="H75" s="5" t="s">
        <v>257</v>
      </c>
      <c r="I75" s="5" t="s">
        <v>247</v>
      </c>
      <c r="J75" s="5" t="s">
        <v>129</v>
      </c>
      <c r="K75" s="5" t="s">
        <v>105</v>
      </c>
      <c r="L75" s="6">
        <v>39128</v>
      </c>
    </row>
    <row r="76" spans="1:12" x14ac:dyDescent="0.25">
      <c r="A76" s="5">
        <v>75</v>
      </c>
      <c r="B76" s="5" t="s">
        <v>7</v>
      </c>
      <c r="C76" s="5" t="s">
        <v>83</v>
      </c>
      <c r="D76" s="5" t="s">
        <v>47</v>
      </c>
      <c r="E76" s="5" t="s">
        <v>76</v>
      </c>
      <c r="F76" s="5" t="s">
        <v>120</v>
      </c>
      <c r="G76" s="5">
        <v>7015683189</v>
      </c>
      <c r="H76" s="5" t="s">
        <v>258</v>
      </c>
      <c r="I76" s="5" t="s">
        <v>247</v>
      </c>
      <c r="J76" s="5" t="s">
        <v>80</v>
      </c>
      <c r="K76" s="5" t="s">
        <v>81</v>
      </c>
      <c r="L76" s="6">
        <v>39428</v>
      </c>
    </row>
    <row r="77" spans="1:12" x14ac:dyDescent="0.25">
      <c r="A77" s="5">
        <v>76</v>
      </c>
      <c r="B77" s="5" t="s">
        <v>259</v>
      </c>
      <c r="C77" s="5" t="s">
        <v>75</v>
      </c>
      <c r="D77" s="5" t="s">
        <v>47</v>
      </c>
      <c r="E77" s="5" t="s">
        <v>92</v>
      </c>
      <c r="F77" s="5" t="s">
        <v>260</v>
      </c>
      <c r="G77" s="5">
        <v>9663605610</v>
      </c>
      <c r="H77" s="5" t="s">
        <v>261</v>
      </c>
      <c r="I77" s="5" t="s">
        <v>247</v>
      </c>
      <c r="J77" s="5" t="s">
        <v>129</v>
      </c>
      <c r="K77" s="5" t="s">
        <v>81</v>
      </c>
      <c r="L77" s="6">
        <v>39152</v>
      </c>
    </row>
    <row r="78" spans="1:12" x14ac:dyDescent="0.25">
      <c r="A78" s="5">
        <v>77</v>
      </c>
      <c r="B78" s="5" t="s">
        <v>262</v>
      </c>
      <c r="C78" s="5" t="s">
        <v>83</v>
      </c>
      <c r="D78" s="5" t="s">
        <v>47</v>
      </c>
      <c r="E78" s="5" t="s">
        <v>92</v>
      </c>
      <c r="F78" s="5" t="s">
        <v>263</v>
      </c>
      <c r="G78" s="5">
        <v>7241737334</v>
      </c>
      <c r="H78" s="5" t="s">
        <v>264</v>
      </c>
      <c r="I78" s="5" t="s">
        <v>247</v>
      </c>
      <c r="J78" s="5" t="s">
        <v>112</v>
      </c>
      <c r="K78" s="5" t="s">
        <v>81</v>
      </c>
      <c r="L78" s="6">
        <v>39095</v>
      </c>
    </row>
    <row r="79" spans="1:12" x14ac:dyDescent="0.25">
      <c r="A79" s="5">
        <v>78</v>
      </c>
      <c r="B79" s="5" t="s">
        <v>265</v>
      </c>
      <c r="C79" s="5" t="s">
        <v>75</v>
      </c>
      <c r="D79" s="5" t="s">
        <v>55</v>
      </c>
      <c r="E79" s="5" t="s">
        <v>102</v>
      </c>
      <c r="F79" s="5" t="s">
        <v>266</v>
      </c>
      <c r="G79" s="5">
        <v>6312678020</v>
      </c>
      <c r="H79" s="5" t="s">
        <v>267</v>
      </c>
      <c r="I79" s="5" t="s">
        <v>79</v>
      </c>
      <c r="J79" s="5" t="s">
        <v>80</v>
      </c>
      <c r="K79" s="5" t="s">
        <v>105</v>
      </c>
      <c r="L79" s="6">
        <v>38334</v>
      </c>
    </row>
    <row r="80" spans="1:12" x14ac:dyDescent="0.25">
      <c r="A80" s="5">
        <v>79</v>
      </c>
      <c r="B80" s="5" t="s">
        <v>138</v>
      </c>
      <c r="C80" s="5" t="s">
        <v>75</v>
      </c>
      <c r="D80" s="5" t="s">
        <v>55</v>
      </c>
      <c r="E80" s="5" t="s">
        <v>268</v>
      </c>
      <c r="F80" s="5" t="s">
        <v>269</v>
      </c>
      <c r="G80" s="5">
        <v>6981518041</v>
      </c>
      <c r="H80" s="5" t="s">
        <v>270</v>
      </c>
      <c r="I80" s="5" t="s">
        <v>79</v>
      </c>
      <c r="J80" s="5" t="s">
        <v>80</v>
      </c>
      <c r="K80" s="5" t="s">
        <v>271</v>
      </c>
      <c r="L80" s="6">
        <v>38171</v>
      </c>
    </row>
    <row r="81" spans="1:12" x14ac:dyDescent="0.25">
      <c r="A81" s="5">
        <v>80</v>
      </c>
      <c r="B81" s="5" t="s">
        <v>236</v>
      </c>
      <c r="C81" s="5" t="s">
        <v>83</v>
      </c>
      <c r="D81" s="5" t="s">
        <v>55</v>
      </c>
      <c r="E81" s="5" t="s">
        <v>272</v>
      </c>
      <c r="F81" s="5" t="s">
        <v>273</v>
      </c>
      <c r="G81" s="5">
        <v>9195716680</v>
      </c>
      <c r="H81" s="5" t="s">
        <v>274</v>
      </c>
      <c r="I81" s="5" t="s">
        <v>79</v>
      </c>
      <c r="J81" s="5" t="s">
        <v>112</v>
      </c>
      <c r="K81" s="5" t="s">
        <v>275</v>
      </c>
      <c r="L81" s="6">
        <v>38112</v>
      </c>
    </row>
    <row r="82" spans="1:12" x14ac:dyDescent="0.25">
      <c r="A82" s="5">
        <v>81</v>
      </c>
      <c r="B82" s="5" t="s">
        <v>276</v>
      </c>
      <c r="C82" s="5" t="s">
        <v>75</v>
      </c>
      <c r="D82" s="5" t="s">
        <v>55</v>
      </c>
      <c r="E82" s="5" t="s">
        <v>277</v>
      </c>
      <c r="F82" s="5" t="s">
        <v>278</v>
      </c>
      <c r="G82" s="5">
        <v>7930604958</v>
      </c>
      <c r="H82" s="5" t="s">
        <v>279</v>
      </c>
      <c r="I82" s="5" t="s">
        <v>79</v>
      </c>
      <c r="J82" s="5" t="s">
        <v>129</v>
      </c>
      <c r="K82" s="5" t="s">
        <v>271</v>
      </c>
      <c r="L82" s="6">
        <v>38253</v>
      </c>
    </row>
    <row r="83" spans="1:12" x14ac:dyDescent="0.25">
      <c r="A83" s="5">
        <v>82</v>
      </c>
      <c r="B83" s="5" t="s">
        <v>82</v>
      </c>
      <c r="C83" s="5" t="s">
        <v>83</v>
      </c>
      <c r="D83" s="5" t="s">
        <v>55</v>
      </c>
      <c r="E83" s="5" t="s">
        <v>272</v>
      </c>
      <c r="F83" s="5" t="s">
        <v>280</v>
      </c>
      <c r="G83" s="5">
        <v>9993852052</v>
      </c>
      <c r="H83" s="5" t="s">
        <v>281</v>
      </c>
      <c r="I83" s="5" t="s">
        <v>79</v>
      </c>
      <c r="J83" s="5" t="s">
        <v>129</v>
      </c>
      <c r="K83" s="5" t="s">
        <v>275</v>
      </c>
      <c r="L83" s="6">
        <v>38054</v>
      </c>
    </row>
    <row r="84" spans="1:12" x14ac:dyDescent="0.25">
      <c r="A84" s="5">
        <v>83</v>
      </c>
      <c r="B84" s="5" t="s">
        <v>282</v>
      </c>
      <c r="C84" s="5" t="s">
        <v>83</v>
      </c>
      <c r="D84" s="5" t="s">
        <v>55</v>
      </c>
      <c r="E84" s="5" t="s">
        <v>277</v>
      </c>
      <c r="F84" s="5" t="s">
        <v>283</v>
      </c>
      <c r="G84" s="5">
        <v>8709148235</v>
      </c>
      <c r="H84" s="5" t="s">
        <v>284</v>
      </c>
      <c r="I84" s="5" t="s">
        <v>79</v>
      </c>
      <c r="J84" s="5" t="s">
        <v>129</v>
      </c>
      <c r="K84" s="5" t="s">
        <v>271</v>
      </c>
      <c r="L84" s="6">
        <v>37999</v>
      </c>
    </row>
    <row r="85" spans="1:12" x14ac:dyDescent="0.25">
      <c r="A85" s="5">
        <v>84</v>
      </c>
      <c r="B85" s="5" t="s">
        <v>233</v>
      </c>
      <c r="C85" s="5" t="s">
        <v>83</v>
      </c>
      <c r="D85" s="5" t="s">
        <v>55</v>
      </c>
      <c r="E85" s="5" t="s">
        <v>285</v>
      </c>
      <c r="F85" s="5" t="s">
        <v>286</v>
      </c>
      <c r="G85" s="5">
        <v>6176802495</v>
      </c>
      <c r="H85" s="5" t="s">
        <v>287</v>
      </c>
      <c r="I85" s="5" t="s">
        <v>79</v>
      </c>
      <c r="J85" s="5" t="s">
        <v>80</v>
      </c>
      <c r="K85" s="5" t="s">
        <v>288</v>
      </c>
      <c r="L85" s="6">
        <v>38180</v>
      </c>
    </row>
    <row r="86" spans="1:12" x14ac:dyDescent="0.25">
      <c r="A86" s="5">
        <v>85</v>
      </c>
      <c r="B86" s="5" t="s">
        <v>7</v>
      </c>
      <c r="C86" s="5" t="s">
        <v>83</v>
      </c>
      <c r="D86" s="5" t="s">
        <v>55</v>
      </c>
      <c r="E86" s="5" t="s">
        <v>289</v>
      </c>
      <c r="F86" s="5" t="s">
        <v>290</v>
      </c>
      <c r="G86" s="5">
        <v>7248915825</v>
      </c>
      <c r="H86" s="5" t="s">
        <v>291</v>
      </c>
      <c r="I86" s="5" t="s">
        <v>79</v>
      </c>
      <c r="J86" s="5" t="s">
        <v>129</v>
      </c>
      <c r="K86" s="5" t="s">
        <v>271</v>
      </c>
      <c r="L86" s="6">
        <v>38343</v>
      </c>
    </row>
    <row r="87" spans="1:12" x14ac:dyDescent="0.25">
      <c r="A87" s="5">
        <v>86</v>
      </c>
      <c r="B87" s="5" t="s">
        <v>125</v>
      </c>
      <c r="C87" s="5" t="s">
        <v>83</v>
      </c>
      <c r="D87" s="5" t="s">
        <v>55</v>
      </c>
      <c r="E87" s="5" t="s">
        <v>292</v>
      </c>
      <c r="F87" s="5" t="s">
        <v>293</v>
      </c>
      <c r="G87" s="5">
        <v>8368263773</v>
      </c>
      <c r="H87" s="5" t="s">
        <v>294</v>
      </c>
      <c r="I87" s="5" t="s">
        <v>79</v>
      </c>
      <c r="J87" s="5" t="s">
        <v>80</v>
      </c>
      <c r="K87" s="5" t="s">
        <v>288</v>
      </c>
      <c r="L87" s="6">
        <v>38012</v>
      </c>
    </row>
    <row r="88" spans="1:12" x14ac:dyDescent="0.25">
      <c r="A88" s="5">
        <v>87</v>
      </c>
      <c r="B88" s="5" t="s">
        <v>108</v>
      </c>
      <c r="C88" s="5" t="s">
        <v>83</v>
      </c>
      <c r="D88" s="5" t="s">
        <v>55</v>
      </c>
      <c r="E88" s="5" t="s">
        <v>292</v>
      </c>
      <c r="F88" s="5" t="s">
        <v>295</v>
      </c>
      <c r="G88" s="5">
        <v>8753473366</v>
      </c>
      <c r="H88" s="5" t="s">
        <v>296</v>
      </c>
      <c r="I88" s="5" t="s">
        <v>79</v>
      </c>
      <c r="J88" s="5" t="s">
        <v>129</v>
      </c>
      <c r="K88" s="5" t="s">
        <v>288</v>
      </c>
      <c r="L88" s="6">
        <v>38020</v>
      </c>
    </row>
    <row r="89" spans="1:12" x14ac:dyDescent="0.25">
      <c r="A89" s="5">
        <v>88</v>
      </c>
      <c r="B89" s="5" t="s">
        <v>297</v>
      </c>
      <c r="C89" s="5" t="s">
        <v>75</v>
      </c>
      <c r="D89" s="5" t="s">
        <v>55</v>
      </c>
      <c r="E89" s="5" t="s">
        <v>272</v>
      </c>
      <c r="F89" s="5" t="s">
        <v>298</v>
      </c>
      <c r="G89" s="5">
        <v>7703991595</v>
      </c>
      <c r="H89" s="5" t="s">
        <v>299</v>
      </c>
      <c r="I89" s="5" t="s">
        <v>79</v>
      </c>
      <c r="J89" s="5" t="s">
        <v>80</v>
      </c>
      <c r="K89" s="5" t="s">
        <v>275</v>
      </c>
      <c r="L89" s="6">
        <v>38150</v>
      </c>
    </row>
    <row r="90" spans="1:12" x14ac:dyDescent="0.25">
      <c r="A90" s="5">
        <v>89</v>
      </c>
      <c r="B90" s="5" t="s">
        <v>138</v>
      </c>
      <c r="C90" s="5" t="s">
        <v>75</v>
      </c>
      <c r="D90" s="5" t="s">
        <v>55</v>
      </c>
      <c r="E90" s="5" t="s">
        <v>300</v>
      </c>
      <c r="F90" s="5" t="s">
        <v>269</v>
      </c>
      <c r="G90" s="5">
        <v>8486079306</v>
      </c>
      <c r="H90" s="5" t="s">
        <v>301</v>
      </c>
      <c r="I90" s="5" t="s">
        <v>79</v>
      </c>
      <c r="J90" s="5" t="s">
        <v>80</v>
      </c>
      <c r="K90" s="5" t="s">
        <v>275</v>
      </c>
      <c r="L90" s="6">
        <v>38132</v>
      </c>
    </row>
    <row r="91" spans="1:12" x14ac:dyDescent="0.25">
      <c r="A91" s="5">
        <v>90</v>
      </c>
      <c r="B91" s="5" t="s">
        <v>265</v>
      </c>
      <c r="C91" s="5" t="s">
        <v>83</v>
      </c>
      <c r="D91" s="5" t="s">
        <v>55</v>
      </c>
      <c r="E91" s="5" t="s">
        <v>289</v>
      </c>
      <c r="F91" s="5" t="s">
        <v>266</v>
      </c>
      <c r="G91" s="5">
        <v>9562670995</v>
      </c>
      <c r="H91" s="5" t="s">
        <v>302</v>
      </c>
      <c r="I91" s="5" t="s">
        <v>79</v>
      </c>
      <c r="J91" s="5" t="s">
        <v>80</v>
      </c>
      <c r="K91" s="5" t="s">
        <v>271</v>
      </c>
      <c r="L91" s="6">
        <v>38134</v>
      </c>
    </row>
    <row r="92" spans="1:12" x14ac:dyDescent="0.25">
      <c r="A92" s="5">
        <v>91</v>
      </c>
      <c r="B92" s="5" t="s">
        <v>303</v>
      </c>
      <c r="C92" s="5" t="s">
        <v>75</v>
      </c>
      <c r="D92" s="5" t="s">
        <v>55</v>
      </c>
      <c r="E92" s="5" t="s">
        <v>292</v>
      </c>
      <c r="F92" s="5" t="s">
        <v>304</v>
      </c>
      <c r="G92" s="5">
        <v>8238005498</v>
      </c>
      <c r="H92" s="5" t="s">
        <v>305</v>
      </c>
      <c r="I92" s="5" t="s">
        <v>79</v>
      </c>
      <c r="J92" s="5" t="s">
        <v>80</v>
      </c>
      <c r="K92" s="5" t="s">
        <v>288</v>
      </c>
      <c r="L92" s="6">
        <v>38275</v>
      </c>
    </row>
    <row r="93" spans="1:12" x14ac:dyDescent="0.25">
      <c r="A93" s="5">
        <v>92</v>
      </c>
      <c r="B93" s="5" t="s">
        <v>218</v>
      </c>
      <c r="C93" s="5" t="s">
        <v>75</v>
      </c>
      <c r="D93" s="5" t="s">
        <v>55</v>
      </c>
      <c r="E93" s="5" t="s">
        <v>306</v>
      </c>
      <c r="F93" s="5" t="s">
        <v>307</v>
      </c>
      <c r="G93" s="5">
        <v>7603000963</v>
      </c>
      <c r="H93" s="5" t="s">
        <v>302</v>
      </c>
      <c r="I93" s="5" t="s">
        <v>79</v>
      </c>
      <c r="J93" s="5" t="s">
        <v>80</v>
      </c>
      <c r="K93" s="5" t="s">
        <v>275</v>
      </c>
      <c r="L93" s="6">
        <v>38231</v>
      </c>
    </row>
    <row r="94" spans="1:12" x14ac:dyDescent="0.25">
      <c r="A94" s="5">
        <v>93</v>
      </c>
      <c r="B94" s="5" t="s">
        <v>101</v>
      </c>
      <c r="C94" s="5" t="s">
        <v>83</v>
      </c>
      <c r="D94" s="5" t="s">
        <v>55</v>
      </c>
      <c r="E94" s="5" t="s">
        <v>308</v>
      </c>
      <c r="F94" s="5" t="s">
        <v>309</v>
      </c>
      <c r="G94" s="5">
        <v>8907432345</v>
      </c>
      <c r="H94" s="5" t="s">
        <v>310</v>
      </c>
      <c r="I94" s="5" t="s">
        <v>158</v>
      </c>
      <c r="J94" s="5" t="s">
        <v>80</v>
      </c>
      <c r="K94" s="5" t="s">
        <v>288</v>
      </c>
      <c r="L94" s="6">
        <v>38415</v>
      </c>
    </row>
    <row r="95" spans="1:12" x14ac:dyDescent="0.25">
      <c r="A95" s="5">
        <v>94</v>
      </c>
      <c r="B95" s="5" t="s">
        <v>311</v>
      </c>
      <c r="C95" s="5" t="s">
        <v>83</v>
      </c>
      <c r="D95" s="5" t="s">
        <v>55</v>
      </c>
      <c r="E95" s="5" t="s">
        <v>306</v>
      </c>
      <c r="F95" s="5" t="s">
        <v>312</v>
      </c>
      <c r="G95" s="5">
        <v>8552790463</v>
      </c>
      <c r="H95" s="5" t="s">
        <v>313</v>
      </c>
      <c r="I95" s="5" t="s">
        <v>158</v>
      </c>
      <c r="J95" s="5" t="s">
        <v>129</v>
      </c>
      <c r="K95" s="5" t="s">
        <v>275</v>
      </c>
      <c r="L95" s="6">
        <v>38493</v>
      </c>
    </row>
    <row r="96" spans="1:12" x14ac:dyDescent="0.25">
      <c r="A96" s="5">
        <v>95</v>
      </c>
      <c r="B96" s="5" t="s">
        <v>161</v>
      </c>
      <c r="C96" s="5" t="s">
        <v>83</v>
      </c>
      <c r="D96" s="5" t="s">
        <v>55</v>
      </c>
      <c r="E96" s="5" t="s">
        <v>314</v>
      </c>
      <c r="F96" s="5" t="s">
        <v>315</v>
      </c>
      <c r="G96" s="5">
        <v>7887959266</v>
      </c>
      <c r="H96" s="5" t="s">
        <v>316</v>
      </c>
      <c r="I96" s="5" t="s">
        <v>158</v>
      </c>
      <c r="J96" s="5" t="s">
        <v>80</v>
      </c>
      <c r="K96" s="5" t="s">
        <v>275</v>
      </c>
      <c r="L96" s="6">
        <v>38375</v>
      </c>
    </row>
    <row r="97" spans="1:12" x14ac:dyDescent="0.25">
      <c r="A97" s="5">
        <v>96</v>
      </c>
      <c r="B97" s="5" t="s">
        <v>317</v>
      </c>
      <c r="C97" s="5" t="s">
        <v>75</v>
      </c>
      <c r="D97" s="5" t="s">
        <v>55</v>
      </c>
      <c r="E97" s="5" t="s">
        <v>292</v>
      </c>
      <c r="F97" s="5" t="s">
        <v>318</v>
      </c>
      <c r="G97" s="5">
        <v>6567545039</v>
      </c>
      <c r="H97" s="5" t="s">
        <v>319</v>
      </c>
      <c r="I97" s="5" t="s">
        <v>158</v>
      </c>
      <c r="J97" s="5" t="s">
        <v>129</v>
      </c>
      <c r="K97" s="5" t="s">
        <v>288</v>
      </c>
      <c r="L97" s="6">
        <v>38368</v>
      </c>
    </row>
    <row r="98" spans="1:12" x14ac:dyDescent="0.25">
      <c r="A98" s="5">
        <v>97</v>
      </c>
      <c r="B98" s="5" t="s">
        <v>91</v>
      </c>
      <c r="C98" s="5" t="s">
        <v>75</v>
      </c>
      <c r="D98" s="5" t="s">
        <v>55</v>
      </c>
      <c r="E98" s="5" t="s">
        <v>308</v>
      </c>
      <c r="F98" s="5" t="s">
        <v>320</v>
      </c>
      <c r="G98" s="5">
        <v>6028509636</v>
      </c>
      <c r="H98" s="5" t="s">
        <v>321</v>
      </c>
      <c r="I98" s="5" t="s">
        <v>158</v>
      </c>
      <c r="J98" s="5" t="s">
        <v>80</v>
      </c>
      <c r="K98" s="5" t="s">
        <v>288</v>
      </c>
      <c r="L98" s="6">
        <v>38523</v>
      </c>
    </row>
    <row r="99" spans="1:12" x14ac:dyDescent="0.25">
      <c r="A99" s="5">
        <v>98</v>
      </c>
      <c r="B99" s="5" t="s">
        <v>208</v>
      </c>
      <c r="C99" s="5" t="s">
        <v>83</v>
      </c>
      <c r="D99" s="5" t="s">
        <v>55</v>
      </c>
      <c r="E99" s="5" t="s">
        <v>308</v>
      </c>
      <c r="F99" s="5" t="s">
        <v>322</v>
      </c>
      <c r="G99" s="5">
        <v>6124557562</v>
      </c>
      <c r="H99" s="5" t="s">
        <v>323</v>
      </c>
      <c r="I99" s="5" t="s">
        <v>158</v>
      </c>
      <c r="J99" s="5" t="s">
        <v>80</v>
      </c>
      <c r="K99" s="5" t="s">
        <v>288</v>
      </c>
      <c r="L99" s="6">
        <v>38427</v>
      </c>
    </row>
    <row r="100" spans="1:12" x14ac:dyDescent="0.25">
      <c r="A100" s="5">
        <v>99</v>
      </c>
      <c r="B100" s="5" t="s">
        <v>98</v>
      </c>
      <c r="C100" s="5" t="s">
        <v>75</v>
      </c>
      <c r="D100" s="5" t="s">
        <v>55</v>
      </c>
      <c r="E100" s="5" t="s">
        <v>272</v>
      </c>
      <c r="F100" s="5" t="s">
        <v>324</v>
      </c>
      <c r="G100" s="5">
        <v>8300868532</v>
      </c>
      <c r="H100" s="5" t="s">
        <v>325</v>
      </c>
      <c r="I100" s="5" t="s">
        <v>158</v>
      </c>
      <c r="J100" s="5" t="s">
        <v>80</v>
      </c>
      <c r="K100" s="5" t="s">
        <v>275</v>
      </c>
      <c r="L100" s="6">
        <v>38602</v>
      </c>
    </row>
    <row r="101" spans="1:12" x14ac:dyDescent="0.25">
      <c r="A101" s="5">
        <v>100</v>
      </c>
      <c r="B101" s="5" t="s">
        <v>177</v>
      </c>
      <c r="C101" s="5" t="s">
        <v>75</v>
      </c>
      <c r="D101" s="5" t="s">
        <v>55</v>
      </c>
      <c r="E101" s="5" t="s">
        <v>224</v>
      </c>
      <c r="F101" s="5" t="s">
        <v>326</v>
      </c>
      <c r="G101" s="5">
        <v>7054623811</v>
      </c>
      <c r="H101" s="5" t="s">
        <v>327</v>
      </c>
      <c r="I101" s="5" t="s">
        <v>158</v>
      </c>
      <c r="J101" s="5" t="s">
        <v>112</v>
      </c>
      <c r="K101" s="5" t="s">
        <v>105</v>
      </c>
      <c r="L101" s="6">
        <v>38585</v>
      </c>
    </row>
    <row r="102" spans="1:12" x14ac:dyDescent="0.25">
      <c r="A102" s="5">
        <v>101</v>
      </c>
      <c r="B102" s="5" t="s">
        <v>328</v>
      </c>
      <c r="C102" s="5" t="s">
        <v>83</v>
      </c>
      <c r="D102" s="5" t="s">
        <v>55</v>
      </c>
      <c r="E102" s="5" t="s">
        <v>300</v>
      </c>
      <c r="F102" s="5" t="s">
        <v>329</v>
      </c>
      <c r="G102" s="5">
        <v>8265812348</v>
      </c>
      <c r="H102" s="5" t="s">
        <v>330</v>
      </c>
      <c r="I102" s="5" t="s">
        <v>158</v>
      </c>
      <c r="J102" s="5" t="s">
        <v>80</v>
      </c>
      <c r="K102" s="5" t="s">
        <v>275</v>
      </c>
      <c r="L102" s="6">
        <v>38480</v>
      </c>
    </row>
    <row r="103" spans="1:12" x14ac:dyDescent="0.25">
      <c r="A103" s="5">
        <v>102</v>
      </c>
      <c r="B103" s="5" t="s">
        <v>303</v>
      </c>
      <c r="C103" s="5" t="s">
        <v>83</v>
      </c>
      <c r="D103" s="5" t="s">
        <v>55</v>
      </c>
      <c r="E103" s="5" t="s">
        <v>331</v>
      </c>
      <c r="F103" s="5" t="s">
        <v>304</v>
      </c>
      <c r="G103" s="5">
        <v>6779923099</v>
      </c>
      <c r="H103" s="5" t="s">
        <v>332</v>
      </c>
      <c r="I103" s="5" t="s">
        <v>158</v>
      </c>
      <c r="J103" s="5" t="s">
        <v>80</v>
      </c>
      <c r="K103" s="5" t="s">
        <v>271</v>
      </c>
      <c r="L103" s="6">
        <v>38662</v>
      </c>
    </row>
    <row r="104" spans="1:12" x14ac:dyDescent="0.25">
      <c r="A104" s="5">
        <v>103</v>
      </c>
      <c r="B104" s="5" t="s">
        <v>239</v>
      </c>
      <c r="C104" s="5" t="s">
        <v>75</v>
      </c>
      <c r="D104" s="5" t="s">
        <v>55</v>
      </c>
      <c r="E104" s="5" t="s">
        <v>300</v>
      </c>
      <c r="F104" s="5" t="s">
        <v>333</v>
      </c>
      <c r="G104" s="5">
        <v>6590661140</v>
      </c>
      <c r="H104" s="5" t="s">
        <v>334</v>
      </c>
      <c r="I104" s="5" t="s">
        <v>158</v>
      </c>
      <c r="J104" s="5" t="s">
        <v>129</v>
      </c>
      <c r="K104" s="5" t="s">
        <v>275</v>
      </c>
      <c r="L104" s="6">
        <v>38702</v>
      </c>
    </row>
    <row r="105" spans="1:12" x14ac:dyDescent="0.25">
      <c r="A105" s="5">
        <v>104</v>
      </c>
      <c r="B105" s="5" t="s">
        <v>144</v>
      </c>
      <c r="C105" s="5" t="s">
        <v>83</v>
      </c>
      <c r="D105" s="5" t="s">
        <v>55</v>
      </c>
      <c r="E105" s="5" t="s">
        <v>314</v>
      </c>
      <c r="F105" s="5" t="s">
        <v>335</v>
      </c>
      <c r="G105" s="5">
        <v>6824662520</v>
      </c>
      <c r="H105" s="5" t="s">
        <v>336</v>
      </c>
      <c r="I105" s="5" t="s">
        <v>158</v>
      </c>
      <c r="J105" s="5" t="s">
        <v>80</v>
      </c>
      <c r="K105" s="5" t="s">
        <v>275</v>
      </c>
      <c r="L105" s="6">
        <v>38598</v>
      </c>
    </row>
    <row r="106" spans="1:12" x14ac:dyDescent="0.25">
      <c r="A106" s="5">
        <v>105</v>
      </c>
      <c r="B106" s="5" t="s">
        <v>7</v>
      </c>
      <c r="C106" s="5" t="s">
        <v>83</v>
      </c>
      <c r="D106" s="5" t="s">
        <v>55</v>
      </c>
      <c r="E106" s="5" t="s">
        <v>300</v>
      </c>
      <c r="F106" s="5" t="s">
        <v>290</v>
      </c>
      <c r="G106" s="5">
        <v>6570445598</v>
      </c>
      <c r="H106" s="5" t="s">
        <v>337</v>
      </c>
      <c r="I106" s="5" t="s">
        <v>158</v>
      </c>
      <c r="J106" s="5" t="s">
        <v>80</v>
      </c>
      <c r="K106" s="5" t="s">
        <v>275</v>
      </c>
      <c r="L106" s="6">
        <v>38637</v>
      </c>
    </row>
    <row r="107" spans="1:12" x14ac:dyDescent="0.25">
      <c r="A107" s="5">
        <v>106</v>
      </c>
      <c r="B107" s="5" t="s">
        <v>165</v>
      </c>
      <c r="C107" s="5" t="s">
        <v>75</v>
      </c>
      <c r="D107" s="5" t="s">
        <v>55</v>
      </c>
      <c r="E107" s="5" t="s">
        <v>308</v>
      </c>
      <c r="F107" s="5" t="s">
        <v>338</v>
      </c>
      <c r="G107" s="5">
        <v>6940494475</v>
      </c>
      <c r="H107" s="5" t="s">
        <v>339</v>
      </c>
      <c r="I107" s="5" t="s">
        <v>158</v>
      </c>
      <c r="J107" s="5" t="s">
        <v>80</v>
      </c>
      <c r="K107" s="5" t="s">
        <v>288</v>
      </c>
      <c r="L107" s="6">
        <v>38513</v>
      </c>
    </row>
    <row r="108" spans="1:12" x14ac:dyDescent="0.25">
      <c r="A108" s="5">
        <v>107</v>
      </c>
      <c r="B108" s="5" t="s">
        <v>265</v>
      </c>
      <c r="C108" s="5" t="s">
        <v>83</v>
      </c>
      <c r="D108" s="5" t="s">
        <v>55</v>
      </c>
      <c r="E108" s="5" t="s">
        <v>268</v>
      </c>
      <c r="F108" s="5" t="s">
        <v>266</v>
      </c>
      <c r="G108" s="5">
        <v>8386826703</v>
      </c>
      <c r="H108" s="5" t="s">
        <v>340</v>
      </c>
      <c r="I108" s="5" t="s">
        <v>158</v>
      </c>
      <c r="J108" s="5" t="s">
        <v>80</v>
      </c>
      <c r="K108" s="5" t="s">
        <v>271</v>
      </c>
      <c r="L108" s="6">
        <v>38613</v>
      </c>
    </row>
    <row r="109" spans="1:12" x14ac:dyDescent="0.25">
      <c r="A109" s="5">
        <v>108</v>
      </c>
      <c r="B109" s="5" t="s">
        <v>242</v>
      </c>
      <c r="C109" s="5" t="s">
        <v>83</v>
      </c>
      <c r="D109" s="5" t="s">
        <v>55</v>
      </c>
      <c r="E109" s="5" t="s">
        <v>300</v>
      </c>
      <c r="F109" s="5" t="s">
        <v>341</v>
      </c>
      <c r="G109" s="5">
        <v>8570611145</v>
      </c>
      <c r="H109" s="5" t="s">
        <v>342</v>
      </c>
      <c r="I109" s="5" t="s">
        <v>206</v>
      </c>
      <c r="J109" s="5" t="s">
        <v>80</v>
      </c>
      <c r="K109" s="5" t="s">
        <v>275</v>
      </c>
      <c r="L109" s="6">
        <v>38925</v>
      </c>
    </row>
    <row r="110" spans="1:12" x14ac:dyDescent="0.25">
      <c r="A110" s="5">
        <v>109</v>
      </c>
      <c r="B110" s="5" t="s">
        <v>180</v>
      </c>
      <c r="C110" s="5" t="s">
        <v>75</v>
      </c>
      <c r="D110" s="5" t="s">
        <v>55</v>
      </c>
      <c r="E110" s="5" t="s">
        <v>268</v>
      </c>
      <c r="F110" s="5" t="s">
        <v>343</v>
      </c>
      <c r="G110" s="5">
        <v>8365638725</v>
      </c>
      <c r="H110" s="5" t="s">
        <v>302</v>
      </c>
      <c r="I110" s="5" t="s">
        <v>206</v>
      </c>
      <c r="J110" s="5" t="s">
        <v>129</v>
      </c>
      <c r="K110" s="5" t="s">
        <v>271</v>
      </c>
      <c r="L110" s="6">
        <v>39063</v>
      </c>
    </row>
    <row r="111" spans="1:12" x14ac:dyDescent="0.25">
      <c r="A111" s="5">
        <v>110</v>
      </c>
      <c r="B111" s="5" t="s">
        <v>141</v>
      </c>
      <c r="C111" s="5" t="s">
        <v>83</v>
      </c>
      <c r="D111" s="5" t="s">
        <v>55</v>
      </c>
      <c r="E111" s="5" t="s">
        <v>306</v>
      </c>
      <c r="F111" s="5" t="s">
        <v>344</v>
      </c>
      <c r="G111" s="5">
        <v>6685260176</v>
      </c>
      <c r="H111" s="5" t="s">
        <v>345</v>
      </c>
      <c r="I111" s="5" t="s">
        <v>206</v>
      </c>
      <c r="J111" s="5" t="s">
        <v>80</v>
      </c>
      <c r="K111" s="5" t="s">
        <v>275</v>
      </c>
      <c r="L111" s="6">
        <v>38982</v>
      </c>
    </row>
    <row r="112" spans="1:12" x14ac:dyDescent="0.25">
      <c r="A112" s="5">
        <v>111</v>
      </c>
      <c r="B112" s="5" t="s">
        <v>233</v>
      </c>
      <c r="C112" s="5" t="s">
        <v>75</v>
      </c>
      <c r="D112" s="5" t="s">
        <v>55</v>
      </c>
      <c r="E112" s="5" t="s">
        <v>314</v>
      </c>
      <c r="F112" s="5" t="s">
        <v>286</v>
      </c>
      <c r="G112" s="5">
        <v>9744085117</v>
      </c>
      <c r="H112" s="5" t="s">
        <v>346</v>
      </c>
      <c r="I112" s="5" t="s">
        <v>206</v>
      </c>
      <c r="J112" s="5" t="s">
        <v>80</v>
      </c>
      <c r="K112" s="5" t="s">
        <v>275</v>
      </c>
      <c r="L112" s="6">
        <v>38943</v>
      </c>
    </row>
    <row r="113" spans="1:12" x14ac:dyDescent="0.25">
      <c r="A113" s="5">
        <v>112</v>
      </c>
      <c r="B113" s="5" t="s">
        <v>347</v>
      </c>
      <c r="C113" s="5" t="s">
        <v>83</v>
      </c>
      <c r="D113" s="5" t="s">
        <v>55</v>
      </c>
      <c r="E113" s="5" t="s">
        <v>277</v>
      </c>
      <c r="F113" s="5" t="s">
        <v>348</v>
      </c>
      <c r="G113" s="5">
        <v>8606374246</v>
      </c>
      <c r="H113" s="5" t="s">
        <v>349</v>
      </c>
      <c r="I113" s="5" t="s">
        <v>206</v>
      </c>
      <c r="J113" s="5" t="s">
        <v>80</v>
      </c>
      <c r="K113" s="5" t="s">
        <v>271</v>
      </c>
      <c r="L113" s="6">
        <v>38732</v>
      </c>
    </row>
    <row r="114" spans="1:12" x14ac:dyDescent="0.25">
      <c r="A114" s="5">
        <v>113</v>
      </c>
      <c r="B114" s="5" t="s">
        <v>350</v>
      </c>
      <c r="C114" s="5" t="s">
        <v>83</v>
      </c>
      <c r="D114" s="5" t="s">
        <v>55</v>
      </c>
      <c r="E114" s="5" t="s">
        <v>351</v>
      </c>
      <c r="F114" s="5" t="s">
        <v>352</v>
      </c>
      <c r="G114" s="5">
        <v>9545225309</v>
      </c>
      <c r="H114" s="5" t="s">
        <v>353</v>
      </c>
      <c r="I114" s="5" t="s">
        <v>206</v>
      </c>
      <c r="J114" s="5" t="s">
        <v>129</v>
      </c>
      <c r="K114" s="5" t="s">
        <v>288</v>
      </c>
      <c r="L114" s="6">
        <v>38974</v>
      </c>
    </row>
    <row r="115" spans="1:12" x14ac:dyDescent="0.25">
      <c r="A115" s="5">
        <v>114</v>
      </c>
      <c r="B115" s="5" t="s">
        <v>208</v>
      </c>
      <c r="C115" s="5" t="s">
        <v>83</v>
      </c>
      <c r="D115" s="5" t="s">
        <v>55</v>
      </c>
      <c r="E115" s="5" t="s">
        <v>308</v>
      </c>
      <c r="F115" s="5" t="s">
        <v>322</v>
      </c>
      <c r="G115" s="5">
        <v>7540172383</v>
      </c>
      <c r="H115" s="5" t="s">
        <v>354</v>
      </c>
      <c r="I115" s="5" t="s">
        <v>206</v>
      </c>
      <c r="J115" s="5" t="s">
        <v>80</v>
      </c>
      <c r="K115" s="5" t="s">
        <v>288</v>
      </c>
      <c r="L115" s="6">
        <v>38935</v>
      </c>
    </row>
    <row r="116" spans="1:12" x14ac:dyDescent="0.25">
      <c r="A116" s="5">
        <v>115</v>
      </c>
      <c r="B116" s="5" t="s">
        <v>95</v>
      </c>
      <c r="C116" s="5" t="s">
        <v>83</v>
      </c>
      <c r="D116" s="5" t="s">
        <v>55</v>
      </c>
      <c r="E116" s="5" t="s">
        <v>306</v>
      </c>
      <c r="F116" s="5" t="s">
        <v>355</v>
      </c>
      <c r="G116" s="5">
        <v>7958283236</v>
      </c>
      <c r="H116" s="5" t="s">
        <v>356</v>
      </c>
      <c r="I116" s="5" t="s">
        <v>206</v>
      </c>
      <c r="J116" s="5" t="s">
        <v>112</v>
      </c>
      <c r="K116" s="5" t="s">
        <v>275</v>
      </c>
      <c r="L116" s="6">
        <v>39018</v>
      </c>
    </row>
    <row r="117" spans="1:12" x14ac:dyDescent="0.25">
      <c r="A117" s="5">
        <v>116</v>
      </c>
      <c r="B117" s="5" t="s">
        <v>357</v>
      </c>
      <c r="C117" s="5" t="s">
        <v>83</v>
      </c>
      <c r="D117" s="5" t="s">
        <v>55</v>
      </c>
      <c r="E117" s="5" t="s">
        <v>306</v>
      </c>
      <c r="F117" s="5" t="s">
        <v>358</v>
      </c>
      <c r="G117" s="5">
        <v>7742075353</v>
      </c>
      <c r="H117" s="5" t="s">
        <v>359</v>
      </c>
      <c r="I117" s="5" t="s">
        <v>206</v>
      </c>
      <c r="J117" s="5" t="s">
        <v>80</v>
      </c>
      <c r="K117" s="5" t="s">
        <v>275</v>
      </c>
      <c r="L117" s="6">
        <v>38896</v>
      </c>
    </row>
    <row r="118" spans="1:12" x14ac:dyDescent="0.25">
      <c r="A118" s="5">
        <v>117</v>
      </c>
      <c r="B118" s="5" t="s">
        <v>360</v>
      </c>
      <c r="C118" s="5" t="s">
        <v>83</v>
      </c>
      <c r="D118" s="5" t="s">
        <v>55</v>
      </c>
      <c r="E118" s="5" t="s">
        <v>331</v>
      </c>
      <c r="F118" s="5" t="s">
        <v>361</v>
      </c>
      <c r="G118" s="5">
        <v>7896176237</v>
      </c>
      <c r="H118" s="5" t="s">
        <v>362</v>
      </c>
      <c r="I118" s="5" t="s">
        <v>206</v>
      </c>
      <c r="J118" s="5" t="s">
        <v>80</v>
      </c>
      <c r="K118" s="5" t="s">
        <v>271</v>
      </c>
      <c r="L118" s="6">
        <v>39055</v>
      </c>
    </row>
    <row r="119" spans="1:12" x14ac:dyDescent="0.25">
      <c r="A119" s="5">
        <v>118</v>
      </c>
      <c r="B119" s="5" t="s">
        <v>134</v>
      </c>
      <c r="C119" s="5" t="s">
        <v>83</v>
      </c>
      <c r="D119" s="5" t="s">
        <v>55</v>
      </c>
      <c r="E119" s="5" t="s">
        <v>106</v>
      </c>
      <c r="F119" s="5" t="s">
        <v>363</v>
      </c>
      <c r="G119" s="5">
        <v>6977860137</v>
      </c>
      <c r="H119" s="5" t="s">
        <v>364</v>
      </c>
      <c r="I119" s="5" t="s">
        <v>206</v>
      </c>
      <c r="J119" s="5" t="s">
        <v>129</v>
      </c>
      <c r="K119" s="5" t="s">
        <v>105</v>
      </c>
      <c r="L119" s="6">
        <v>38783</v>
      </c>
    </row>
    <row r="120" spans="1:12" x14ac:dyDescent="0.25">
      <c r="A120" s="5">
        <v>119</v>
      </c>
      <c r="B120" s="5" t="s">
        <v>198</v>
      </c>
      <c r="C120" s="5" t="s">
        <v>75</v>
      </c>
      <c r="D120" s="5" t="s">
        <v>55</v>
      </c>
      <c r="E120" s="5" t="s">
        <v>351</v>
      </c>
      <c r="F120" s="5" t="s">
        <v>365</v>
      </c>
      <c r="G120" s="5">
        <v>8841559236</v>
      </c>
      <c r="H120" s="5" t="s">
        <v>366</v>
      </c>
      <c r="I120" s="5" t="s">
        <v>206</v>
      </c>
      <c r="J120" s="5" t="s">
        <v>80</v>
      </c>
      <c r="K120" s="5" t="s">
        <v>288</v>
      </c>
      <c r="L120" s="6">
        <v>38846</v>
      </c>
    </row>
    <row r="121" spans="1:12" x14ac:dyDescent="0.25">
      <c r="A121" s="5">
        <v>120</v>
      </c>
      <c r="B121" s="5" t="s">
        <v>101</v>
      </c>
      <c r="C121" s="5" t="s">
        <v>75</v>
      </c>
      <c r="D121" s="5" t="s">
        <v>55</v>
      </c>
      <c r="E121" s="5" t="s">
        <v>268</v>
      </c>
      <c r="F121" s="5" t="s">
        <v>309</v>
      </c>
      <c r="G121" s="5">
        <v>6649993810</v>
      </c>
      <c r="H121" s="5" t="s">
        <v>367</v>
      </c>
      <c r="I121" s="5" t="s">
        <v>206</v>
      </c>
      <c r="J121" s="5" t="s">
        <v>112</v>
      </c>
      <c r="K121" s="5" t="s">
        <v>271</v>
      </c>
      <c r="L121" s="6">
        <v>39054</v>
      </c>
    </row>
    <row r="122" spans="1:12" x14ac:dyDescent="0.25">
      <c r="A122" s="5">
        <v>121</v>
      </c>
      <c r="B122" s="5" t="s">
        <v>368</v>
      </c>
      <c r="C122" s="5" t="s">
        <v>83</v>
      </c>
      <c r="D122" s="5" t="s">
        <v>55</v>
      </c>
      <c r="E122" s="5" t="s">
        <v>292</v>
      </c>
      <c r="F122" s="5" t="s">
        <v>369</v>
      </c>
      <c r="G122" s="5">
        <v>8387448697</v>
      </c>
      <c r="H122" s="5" t="s">
        <v>356</v>
      </c>
      <c r="I122" s="5" t="s">
        <v>206</v>
      </c>
      <c r="J122" s="5" t="s">
        <v>159</v>
      </c>
      <c r="K122" s="5" t="s">
        <v>288</v>
      </c>
      <c r="L122" s="6">
        <v>38793</v>
      </c>
    </row>
    <row r="123" spans="1:12" x14ac:dyDescent="0.25">
      <c r="A123" s="5">
        <v>122</v>
      </c>
      <c r="B123" s="5" t="s">
        <v>347</v>
      </c>
      <c r="C123" s="5" t="s">
        <v>75</v>
      </c>
      <c r="D123" s="5" t="s">
        <v>55</v>
      </c>
      <c r="E123" s="5" t="s">
        <v>306</v>
      </c>
      <c r="F123" s="5" t="s">
        <v>348</v>
      </c>
      <c r="G123" s="5">
        <v>9413872587</v>
      </c>
      <c r="H123" s="5" t="s">
        <v>370</v>
      </c>
      <c r="I123" s="5" t="s">
        <v>206</v>
      </c>
      <c r="J123" s="5" t="s">
        <v>129</v>
      </c>
      <c r="K123" s="5" t="s">
        <v>275</v>
      </c>
      <c r="L123" s="6">
        <v>38957</v>
      </c>
    </row>
    <row r="124" spans="1:12" x14ac:dyDescent="0.25">
      <c r="A124" s="5">
        <v>123</v>
      </c>
      <c r="B124" s="5" t="s">
        <v>259</v>
      </c>
      <c r="C124" s="5" t="s">
        <v>75</v>
      </c>
      <c r="D124" s="5" t="s">
        <v>55</v>
      </c>
      <c r="E124" s="5" t="s">
        <v>314</v>
      </c>
      <c r="F124" s="5" t="s">
        <v>371</v>
      </c>
      <c r="G124" s="5">
        <v>7050383585</v>
      </c>
      <c r="H124" s="5" t="s">
        <v>372</v>
      </c>
      <c r="I124" s="5" t="s">
        <v>247</v>
      </c>
      <c r="J124" s="5" t="s">
        <v>80</v>
      </c>
      <c r="K124" s="5" t="s">
        <v>275</v>
      </c>
      <c r="L124" s="6">
        <v>39200</v>
      </c>
    </row>
    <row r="125" spans="1:12" x14ac:dyDescent="0.25">
      <c r="A125" s="5">
        <v>124</v>
      </c>
      <c r="B125" s="5" t="s">
        <v>317</v>
      </c>
      <c r="C125" s="5" t="s">
        <v>75</v>
      </c>
      <c r="D125" s="5" t="s">
        <v>55</v>
      </c>
      <c r="E125" s="5" t="s">
        <v>268</v>
      </c>
      <c r="F125" s="5" t="s">
        <v>318</v>
      </c>
      <c r="G125" s="5">
        <v>8514905241</v>
      </c>
      <c r="H125" s="5" t="s">
        <v>345</v>
      </c>
      <c r="I125" s="5" t="s">
        <v>247</v>
      </c>
      <c r="J125" s="5" t="s">
        <v>112</v>
      </c>
      <c r="K125" s="5" t="s">
        <v>271</v>
      </c>
      <c r="L125" s="6">
        <v>39142</v>
      </c>
    </row>
    <row r="126" spans="1:12" x14ac:dyDescent="0.25">
      <c r="A126" s="5">
        <v>125</v>
      </c>
      <c r="B126" s="5" t="s">
        <v>373</v>
      </c>
      <c r="C126" s="5" t="s">
        <v>83</v>
      </c>
      <c r="D126" s="5" t="s">
        <v>55</v>
      </c>
      <c r="E126" s="5" t="s">
        <v>306</v>
      </c>
      <c r="F126" s="5" t="s">
        <v>374</v>
      </c>
      <c r="G126" s="5">
        <v>7391407646</v>
      </c>
      <c r="H126" s="5" t="s">
        <v>375</v>
      </c>
      <c r="I126" s="5" t="s">
        <v>247</v>
      </c>
      <c r="J126" s="5" t="s">
        <v>80</v>
      </c>
      <c r="K126" s="5" t="s">
        <v>275</v>
      </c>
      <c r="L126" s="6">
        <v>39382</v>
      </c>
    </row>
    <row r="127" spans="1:12" x14ac:dyDescent="0.25">
      <c r="A127" s="5">
        <v>126</v>
      </c>
      <c r="B127" s="5" t="s">
        <v>233</v>
      </c>
      <c r="C127" s="5" t="s">
        <v>83</v>
      </c>
      <c r="D127" s="5" t="s">
        <v>55</v>
      </c>
      <c r="E127" s="5" t="s">
        <v>285</v>
      </c>
      <c r="F127" s="5" t="s">
        <v>286</v>
      </c>
      <c r="G127" s="5">
        <v>6800910014</v>
      </c>
      <c r="H127" s="5" t="s">
        <v>366</v>
      </c>
      <c r="I127" s="5" t="s">
        <v>247</v>
      </c>
      <c r="J127" s="5" t="s">
        <v>112</v>
      </c>
      <c r="K127" s="5" t="s">
        <v>288</v>
      </c>
      <c r="L127" s="6">
        <v>39412</v>
      </c>
    </row>
    <row r="128" spans="1:12" x14ac:dyDescent="0.25">
      <c r="A128" s="5">
        <v>127</v>
      </c>
      <c r="B128" s="5" t="s">
        <v>259</v>
      </c>
      <c r="C128" s="5" t="s">
        <v>75</v>
      </c>
      <c r="D128" s="5" t="s">
        <v>55</v>
      </c>
      <c r="E128" s="5" t="s">
        <v>308</v>
      </c>
      <c r="F128" s="5" t="s">
        <v>371</v>
      </c>
      <c r="G128" s="5">
        <v>9759133169</v>
      </c>
      <c r="H128" s="5" t="s">
        <v>376</v>
      </c>
      <c r="I128" s="5" t="s">
        <v>247</v>
      </c>
      <c r="J128" s="5" t="s">
        <v>80</v>
      </c>
      <c r="K128" s="5" t="s">
        <v>288</v>
      </c>
      <c r="L128" s="6">
        <v>39152</v>
      </c>
    </row>
    <row r="129" spans="1:12" x14ac:dyDescent="0.25">
      <c r="A129" s="5">
        <v>128</v>
      </c>
      <c r="B129" s="5" t="s">
        <v>377</v>
      </c>
      <c r="C129" s="5" t="s">
        <v>75</v>
      </c>
      <c r="D129" s="5" t="s">
        <v>55</v>
      </c>
      <c r="E129" s="5" t="s">
        <v>331</v>
      </c>
      <c r="F129" s="5" t="s">
        <v>378</v>
      </c>
      <c r="G129" s="5">
        <v>6797078734</v>
      </c>
      <c r="H129" s="5" t="s">
        <v>379</v>
      </c>
      <c r="I129" s="5" t="s">
        <v>247</v>
      </c>
      <c r="J129" s="5" t="s">
        <v>112</v>
      </c>
      <c r="K129" s="5" t="s">
        <v>271</v>
      </c>
      <c r="L129" s="6">
        <v>39430</v>
      </c>
    </row>
    <row r="130" spans="1:12" x14ac:dyDescent="0.25">
      <c r="A130" s="5">
        <v>129</v>
      </c>
      <c r="B130" s="5" t="s">
        <v>122</v>
      </c>
      <c r="C130" s="5" t="s">
        <v>83</v>
      </c>
      <c r="D130" s="5" t="s">
        <v>55</v>
      </c>
      <c r="E130" s="5" t="s">
        <v>308</v>
      </c>
      <c r="F130" s="5" t="s">
        <v>380</v>
      </c>
      <c r="G130" s="5">
        <v>6055605024</v>
      </c>
      <c r="H130" s="5" t="s">
        <v>381</v>
      </c>
      <c r="I130" s="5" t="s">
        <v>247</v>
      </c>
      <c r="J130" s="5" t="s">
        <v>80</v>
      </c>
      <c r="K130" s="5" t="s">
        <v>288</v>
      </c>
      <c r="L130" s="6">
        <v>39336</v>
      </c>
    </row>
    <row r="131" spans="1:12" x14ac:dyDescent="0.25">
      <c r="A131" s="5">
        <v>130</v>
      </c>
      <c r="B131" s="5" t="s">
        <v>183</v>
      </c>
      <c r="C131" s="5" t="s">
        <v>75</v>
      </c>
      <c r="D131" s="5" t="s">
        <v>55</v>
      </c>
      <c r="E131" s="5" t="s">
        <v>285</v>
      </c>
      <c r="F131" s="5" t="s">
        <v>382</v>
      </c>
      <c r="G131" s="5">
        <v>7625976886</v>
      </c>
      <c r="H131" s="5" t="s">
        <v>383</v>
      </c>
      <c r="I131" s="5" t="s">
        <v>247</v>
      </c>
      <c r="J131" s="5" t="s">
        <v>112</v>
      </c>
      <c r="K131" s="5" t="s">
        <v>288</v>
      </c>
      <c r="L131" s="6">
        <v>39224</v>
      </c>
    </row>
    <row r="132" spans="1:12" x14ac:dyDescent="0.25">
      <c r="A132" s="5">
        <v>131</v>
      </c>
      <c r="B132" s="5" t="s">
        <v>384</v>
      </c>
      <c r="C132" s="5" t="s">
        <v>75</v>
      </c>
      <c r="D132" s="5" t="s">
        <v>55</v>
      </c>
      <c r="E132" s="5" t="s">
        <v>308</v>
      </c>
      <c r="F132" s="5" t="s">
        <v>385</v>
      </c>
      <c r="G132" s="5">
        <v>7631098227</v>
      </c>
      <c r="H132" s="5" t="s">
        <v>386</v>
      </c>
      <c r="I132" s="5" t="s">
        <v>247</v>
      </c>
      <c r="J132" s="5" t="s">
        <v>129</v>
      </c>
      <c r="K132" s="5" t="s">
        <v>288</v>
      </c>
      <c r="L132" s="6">
        <v>39255</v>
      </c>
    </row>
    <row r="133" spans="1:12" x14ac:dyDescent="0.25">
      <c r="A133" s="5">
        <v>132</v>
      </c>
      <c r="B133" s="5" t="s">
        <v>387</v>
      </c>
      <c r="C133" s="5" t="s">
        <v>75</v>
      </c>
      <c r="D133" s="5" t="s">
        <v>55</v>
      </c>
      <c r="E133" s="5" t="s">
        <v>314</v>
      </c>
      <c r="F133" s="5" t="s">
        <v>388</v>
      </c>
      <c r="G133" s="5">
        <v>7015426828</v>
      </c>
      <c r="H133" s="5" t="s">
        <v>389</v>
      </c>
      <c r="I133" s="5" t="s">
        <v>247</v>
      </c>
      <c r="J133" s="5" t="s">
        <v>80</v>
      </c>
      <c r="K133" s="5" t="s">
        <v>275</v>
      </c>
      <c r="L133" s="6">
        <v>39095</v>
      </c>
    </row>
    <row r="134" spans="1:12" x14ac:dyDescent="0.25">
      <c r="A134" s="5">
        <v>133</v>
      </c>
      <c r="B134" s="5" t="s">
        <v>141</v>
      </c>
      <c r="C134" s="5" t="s">
        <v>83</v>
      </c>
      <c r="D134" s="5" t="s">
        <v>55</v>
      </c>
      <c r="E134" s="5" t="s">
        <v>314</v>
      </c>
      <c r="F134" s="5" t="s">
        <v>344</v>
      </c>
      <c r="G134" s="5">
        <v>9413676733</v>
      </c>
      <c r="H134" s="5" t="s">
        <v>390</v>
      </c>
      <c r="I134" s="5" t="s">
        <v>247</v>
      </c>
      <c r="J134" s="5" t="s">
        <v>112</v>
      </c>
      <c r="K134" s="5" t="s">
        <v>275</v>
      </c>
      <c r="L134" s="6">
        <v>39387</v>
      </c>
    </row>
    <row r="135" spans="1:12" x14ac:dyDescent="0.25">
      <c r="A135" s="5">
        <v>134</v>
      </c>
      <c r="B135" s="5" t="s">
        <v>282</v>
      </c>
      <c r="C135" s="5" t="s">
        <v>75</v>
      </c>
      <c r="D135" s="5" t="s">
        <v>55</v>
      </c>
      <c r="E135" s="5" t="s">
        <v>131</v>
      </c>
      <c r="F135" s="5" t="s">
        <v>283</v>
      </c>
      <c r="G135" s="5">
        <v>8416738837</v>
      </c>
      <c r="H135" s="5" t="s">
        <v>391</v>
      </c>
      <c r="I135" s="5" t="s">
        <v>247</v>
      </c>
      <c r="J135" s="5" t="s">
        <v>80</v>
      </c>
      <c r="K135" s="5" t="s">
        <v>105</v>
      </c>
      <c r="L135" s="6">
        <v>39427</v>
      </c>
    </row>
    <row r="136" spans="1:12" x14ac:dyDescent="0.25">
      <c r="A136" s="5">
        <v>135</v>
      </c>
      <c r="B136" s="5" t="s">
        <v>276</v>
      </c>
      <c r="C136" s="5" t="s">
        <v>75</v>
      </c>
      <c r="D136" s="5" t="s">
        <v>55</v>
      </c>
      <c r="E136" s="5" t="s">
        <v>351</v>
      </c>
      <c r="F136" s="5" t="s">
        <v>278</v>
      </c>
      <c r="G136" s="5">
        <v>9788629066</v>
      </c>
      <c r="H136" s="5" t="s">
        <v>345</v>
      </c>
      <c r="I136" s="5" t="s">
        <v>247</v>
      </c>
      <c r="J136" s="5" t="s">
        <v>80</v>
      </c>
      <c r="K136" s="5" t="s">
        <v>288</v>
      </c>
      <c r="L136" s="6">
        <v>39150</v>
      </c>
    </row>
    <row r="137" spans="1:12" x14ac:dyDescent="0.25">
      <c r="A137" s="5">
        <v>136</v>
      </c>
      <c r="B137" s="5" t="s">
        <v>347</v>
      </c>
      <c r="C137" s="5" t="s">
        <v>83</v>
      </c>
      <c r="D137" s="5" t="s">
        <v>55</v>
      </c>
      <c r="E137" s="5" t="s">
        <v>300</v>
      </c>
      <c r="F137" s="5" t="s">
        <v>348</v>
      </c>
      <c r="G137" s="5">
        <v>6754520778</v>
      </c>
      <c r="H137" s="5" t="s">
        <v>392</v>
      </c>
      <c r="I137" s="5" t="s">
        <v>247</v>
      </c>
      <c r="J137" s="5" t="s">
        <v>80</v>
      </c>
      <c r="K137" s="5" t="s">
        <v>275</v>
      </c>
      <c r="L137" s="6">
        <v>39340</v>
      </c>
    </row>
    <row r="138" spans="1:12" x14ac:dyDescent="0.25">
      <c r="A138" s="5">
        <v>137</v>
      </c>
      <c r="B138" s="5" t="s">
        <v>393</v>
      </c>
      <c r="C138" s="5" t="s">
        <v>83</v>
      </c>
      <c r="D138" s="5" t="s">
        <v>31</v>
      </c>
      <c r="E138" s="5" t="s">
        <v>289</v>
      </c>
      <c r="F138" s="5" t="s">
        <v>394</v>
      </c>
      <c r="G138" s="5">
        <v>8267925751</v>
      </c>
      <c r="H138" s="5" t="s">
        <v>395</v>
      </c>
      <c r="I138" s="5" t="s">
        <v>79</v>
      </c>
      <c r="J138" s="5" t="s">
        <v>129</v>
      </c>
      <c r="K138" s="5" t="s">
        <v>271</v>
      </c>
      <c r="L138" s="6">
        <v>38159</v>
      </c>
    </row>
    <row r="139" spans="1:12" x14ac:dyDescent="0.25">
      <c r="A139" s="5">
        <v>138</v>
      </c>
      <c r="B139" s="5" t="s">
        <v>396</v>
      </c>
      <c r="C139" s="5" t="s">
        <v>75</v>
      </c>
      <c r="D139" s="5" t="s">
        <v>31</v>
      </c>
      <c r="E139" s="5" t="s">
        <v>397</v>
      </c>
      <c r="F139" s="5" t="s">
        <v>398</v>
      </c>
      <c r="G139" s="5">
        <v>7551454995</v>
      </c>
      <c r="H139" s="5" t="s">
        <v>399</v>
      </c>
      <c r="I139" s="5" t="s">
        <v>79</v>
      </c>
      <c r="J139" s="5" t="s">
        <v>80</v>
      </c>
      <c r="K139" s="5" t="s">
        <v>400</v>
      </c>
      <c r="L139" s="6">
        <v>38204</v>
      </c>
    </row>
    <row r="140" spans="1:12" x14ac:dyDescent="0.25">
      <c r="A140" s="5">
        <v>139</v>
      </c>
      <c r="B140" s="5" t="s">
        <v>297</v>
      </c>
      <c r="C140" s="5" t="s">
        <v>75</v>
      </c>
      <c r="D140" s="5" t="s">
        <v>31</v>
      </c>
      <c r="E140" s="5" t="s">
        <v>351</v>
      </c>
      <c r="F140" s="5" t="s">
        <v>401</v>
      </c>
      <c r="G140" s="5">
        <v>9666774452</v>
      </c>
      <c r="H140" s="5" t="s">
        <v>402</v>
      </c>
      <c r="I140" s="5" t="s">
        <v>79</v>
      </c>
      <c r="J140" s="5" t="s">
        <v>80</v>
      </c>
      <c r="K140" s="5" t="s">
        <v>288</v>
      </c>
      <c r="L140" s="6">
        <v>38231</v>
      </c>
    </row>
    <row r="141" spans="1:12" x14ac:dyDescent="0.25">
      <c r="A141" s="5">
        <v>140</v>
      </c>
      <c r="B141" s="5" t="s">
        <v>108</v>
      </c>
      <c r="C141" s="5" t="s">
        <v>83</v>
      </c>
      <c r="D141" s="5" t="s">
        <v>31</v>
      </c>
      <c r="E141" s="5" t="s">
        <v>403</v>
      </c>
      <c r="F141" s="5" t="s">
        <v>404</v>
      </c>
      <c r="G141" s="5">
        <v>7244016696</v>
      </c>
      <c r="H141" s="5" t="s">
        <v>405</v>
      </c>
      <c r="I141" s="5" t="s">
        <v>79</v>
      </c>
      <c r="J141" s="5" t="s">
        <v>80</v>
      </c>
      <c r="K141" s="5" t="s">
        <v>400</v>
      </c>
      <c r="L141" s="6">
        <v>38263</v>
      </c>
    </row>
    <row r="142" spans="1:12" x14ac:dyDescent="0.25">
      <c r="A142" s="5">
        <v>141</v>
      </c>
      <c r="B142" s="5" t="s">
        <v>406</v>
      </c>
      <c r="C142" s="5" t="s">
        <v>83</v>
      </c>
      <c r="D142" s="5" t="s">
        <v>31</v>
      </c>
      <c r="E142" s="5" t="s">
        <v>292</v>
      </c>
      <c r="F142" s="5" t="s">
        <v>407</v>
      </c>
      <c r="G142" s="5">
        <v>7137251537</v>
      </c>
      <c r="H142" s="5" t="s">
        <v>408</v>
      </c>
      <c r="I142" s="5" t="s">
        <v>79</v>
      </c>
      <c r="J142" s="5" t="s">
        <v>80</v>
      </c>
      <c r="K142" s="5" t="s">
        <v>288</v>
      </c>
      <c r="L142" s="6">
        <v>37992</v>
      </c>
    </row>
    <row r="143" spans="1:12" x14ac:dyDescent="0.25">
      <c r="A143" s="5">
        <v>142</v>
      </c>
      <c r="B143" s="5" t="s">
        <v>262</v>
      </c>
      <c r="C143" s="5" t="s">
        <v>75</v>
      </c>
      <c r="D143" s="5" t="s">
        <v>31</v>
      </c>
      <c r="E143" s="5" t="s">
        <v>403</v>
      </c>
      <c r="F143" s="5" t="s">
        <v>409</v>
      </c>
      <c r="G143" s="5">
        <v>6336735552</v>
      </c>
      <c r="H143" s="5" t="s">
        <v>410</v>
      </c>
      <c r="I143" s="5" t="s">
        <v>79</v>
      </c>
      <c r="J143" s="5" t="s">
        <v>80</v>
      </c>
      <c r="K143" s="5" t="s">
        <v>400</v>
      </c>
      <c r="L143" s="6">
        <v>38298</v>
      </c>
    </row>
    <row r="144" spans="1:12" x14ac:dyDescent="0.25">
      <c r="A144" s="5">
        <v>143</v>
      </c>
      <c r="B144" s="5" t="s">
        <v>311</v>
      </c>
      <c r="C144" s="5" t="s">
        <v>75</v>
      </c>
      <c r="D144" s="5" t="s">
        <v>31</v>
      </c>
      <c r="E144" s="5" t="s">
        <v>397</v>
      </c>
      <c r="F144" s="5" t="s">
        <v>411</v>
      </c>
      <c r="G144" s="5">
        <v>8935675820</v>
      </c>
      <c r="H144" s="5" t="s">
        <v>412</v>
      </c>
      <c r="I144" s="5" t="s">
        <v>79</v>
      </c>
      <c r="J144" s="5" t="s">
        <v>129</v>
      </c>
      <c r="K144" s="5" t="s">
        <v>400</v>
      </c>
      <c r="L144" s="6">
        <v>38243</v>
      </c>
    </row>
    <row r="145" spans="1:12" x14ac:dyDescent="0.25">
      <c r="A145" s="5">
        <v>144</v>
      </c>
      <c r="B145" s="5" t="s">
        <v>233</v>
      </c>
      <c r="C145" s="5" t="s">
        <v>83</v>
      </c>
      <c r="D145" s="5" t="s">
        <v>31</v>
      </c>
      <c r="E145" s="5" t="s">
        <v>277</v>
      </c>
      <c r="F145" s="5" t="s">
        <v>413</v>
      </c>
      <c r="G145" s="5">
        <v>6392862761</v>
      </c>
      <c r="H145" s="5" t="s">
        <v>414</v>
      </c>
      <c r="I145" s="5" t="s">
        <v>79</v>
      </c>
      <c r="J145" s="5" t="s">
        <v>129</v>
      </c>
      <c r="K145" s="5" t="s">
        <v>271</v>
      </c>
      <c r="L145" s="6">
        <v>38235</v>
      </c>
    </row>
    <row r="146" spans="1:12" x14ac:dyDescent="0.25">
      <c r="A146" s="5">
        <v>145</v>
      </c>
      <c r="B146" s="5" t="s">
        <v>138</v>
      </c>
      <c r="C146" s="5" t="s">
        <v>83</v>
      </c>
      <c r="D146" s="5" t="s">
        <v>31</v>
      </c>
      <c r="E146" s="5" t="s">
        <v>289</v>
      </c>
      <c r="F146" s="5" t="s">
        <v>415</v>
      </c>
      <c r="G146" s="5">
        <v>7259689423</v>
      </c>
      <c r="H146" s="5" t="s">
        <v>416</v>
      </c>
      <c r="I146" s="5" t="s">
        <v>79</v>
      </c>
      <c r="J146" s="5" t="s">
        <v>129</v>
      </c>
      <c r="K146" s="5" t="s">
        <v>271</v>
      </c>
      <c r="L146" s="6">
        <v>38152</v>
      </c>
    </row>
    <row r="147" spans="1:12" x14ac:dyDescent="0.25">
      <c r="A147" s="5">
        <v>146</v>
      </c>
      <c r="B147" s="5" t="s">
        <v>417</v>
      </c>
      <c r="C147" s="5" t="s">
        <v>83</v>
      </c>
      <c r="D147" s="5" t="s">
        <v>31</v>
      </c>
      <c r="E147" s="5" t="s">
        <v>102</v>
      </c>
      <c r="F147" s="5" t="s">
        <v>418</v>
      </c>
      <c r="G147" s="5">
        <v>8891001495</v>
      </c>
      <c r="H147" s="5" t="s">
        <v>419</v>
      </c>
      <c r="I147" s="5" t="s">
        <v>79</v>
      </c>
      <c r="J147" s="5" t="s">
        <v>80</v>
      </c>
      <c r="K147" s="5" t="s">
        <v>105</v>
      </c>
      <c r="L147" s="6">
        <v>38283</v>
      </c>
    </row>
    <row r="148" spans="1:12" x14ac:dyDescent="0.25">
      <c r="A148" s="5">
        <v>147</v>
      </c>
      <c r="B148" s="5" t="s">
        <v>420</v>
      </c>
      <c r="C148" s="5" t="s">
        <v>83</v>
      </c>
      <c r="D148" s="5" t="s">
        <v>31</v>
      </c>
      <c r="E148" s="5" t="s">
        <v>351</v>
      </c>
      <c r="F148" s="5" t="s">
        <v>421</v>
      </c>
      <c r="G148" s="5">
        <v>8810831617</v>
      </c>
      <c r="H148" s="5" t="s">
        <v>422</v>
      </c>
      <c r="I148" s="5" t="s">
        <v>79</v>
      </c>
      <c r="J148" s="5" t="s">
        <v>80</v>
      </c>
      <c r="K148" s="5" t="s">
        <v>288</v>
      </c>
      <c r="L148" s="6">
        <v>38133</v>
      </c>
    </row>
    <row r="149" spans="1:12" x14ac:dyDescent="0.25">
      <c r="A149" s="5">
        <v>148</v>
      </c>
      <c r="B149" s="5" t="s">
        <v>357</v>
      </c>
      <c r="C149" s="5" t="s">
        <v>83</v>
      </c>
      <c r="D149" s="5" t="s">
        <v>31</v>
      </c>
      <c r="E149" s="5" t="s">
        <v>289</v>
      </c>
      <c r="F149" s="5" t="s">
        <v>423</v>
      </c>
      <c r="G149" s="5">
        <v>7486496514</v>
      </c>
      <c r="H149" s="5" t="s">
        <v>424</v>
      </c>
      <c r="I149" s="5" t="s">
        <v>79</v>
      </c>
      <c r="J149" s="5" t="s">
        <v>80</v>
      </c>
      <c r="K149" s="5" t="s">
        <v>271</v>
      </c>
      <c r="L149" s="6">
        <v>38206</v>
      </c>
    </row>
    <row r="150" spans="1:12" x14ac:dyDescent="0.25">
      <c r="A150" s="5">
        <v>149</v>
      </c>
      <c r="B150" s="5" t="s">
        <v>122</v>
      </c>
      <c r="C150" s="5" t="s">
        <v>83</v>
      </c>
      <c r="D150" s="5" t="s">
        <v>31</v>
      </c>
      <c r="E150" s="5" t="s">
        <v>268</v>
      </c>
      <c r="F150" s="5" t="s">
        <v>425</v>
      </c>
      <c r="G150" s="5">
        <v>6154529482</v>
      </c>
      <c r="H150" s="5" t="s">
        <v>402</v>
      </c>
      <c r="I150" s="5" t="s">
        <v>79</v>
      </c>
      <c r="J150" s="5" t="s">
        <v>80</v>
      </c>
      <c r="K150" s="5" t="s">
        <v>271</v>
      </c>
      <c r="L150" s="6">
        <v>38225</v>
      </c>
    </row>
    <row r="151" spans="1:12" x14ac:dyDescent="0.25">
      <c r="A151" s="5">
        <v>150</v>
      </c>
      <c r="B151" s="5" t="s">
        <v>215</v>
      </c>
      <c r="C151" s="5" t="s">
        <v>83</v>
      </c>
      <c r="D151" s="5" t="s">
        <v>31</v>
      </c>
      <c r="E151" s="5" t="s">
        <v>277</v>
      </c>
      <c r="F151" s="5" t="s">
        <v>426</v>
      </c>
      <c r="G151" s="5">
        <v>8453458335</v>
      </c>
      <c r="H151" s="5" t="s">
        <v>427</v>
      </c>
      <c r="I151" s="5" t="s">
        <v>79</v>
      </c>
      <c r="J151" s="5" t="s">
        <v>80</v>
      </c>
      <c r="K151" s="5" t="s">
        <v>271</v>
      </c>
      <c r="L151" s="6">
        <v>38318</v>
      </c>
    </row>
    <row r="152" spans="1:12" x14ac:dyDescent="0.25">
      <c r="A152" s="5">
        <v>151</v>
      </c>
      <c r="B152" s="5" t="s">
        <v>428</v>
      </c>
      <c r="C152" s="5" t="s">
        <v>83</v>
      </c>
      <c r="D152" s="5" t="s">
        <v>31</v>
      </c>
      <c r="E152" s="5" t="s">
        <v>351</v>
      </c>
      <c r="F152" s="5" t="s">
        <v>429</v>
      </c>
      <c r="G152" s="5">
        <v>7597140165</v>
      </c>
      <c r="H152" s="5" t="s">
        <v>430</v>
      </c>
      <c r="I152" s="5" t="s">
        <v>79</v>
      </c>
      <c r="J152" s="5" t="s">
        <v>80</v>
      </c>
      <c r="K152" s="5" t="s">
        <v>288</v>
      </c>
      <c r="L152" s="6">
        <v>37990</v>
      </c>
    </row>
    <row r="153" spans="1:12" x14ac:dyDescent="0.25">
      <c r="A153" s="5">
        <v>152</v>
      </c>
      <c r="B153" s="5" t="s">
        <v>221</v>
      </c>
      <c r="C153" s="5" t="s">
        <v>83</v>
      </c>
      <c r="D153" s="5" t="s">
        <v>31</v>
      </c>
      <c r="E153" s="5" t="s">
        <v>224</v>
      </c>
      <c r="F153" s="5" t="s">
        <v>431</v>
      </c>
      <c r="G153" s="5">
        <v>8132633456</v>
      </c>
      <c r="H153" s="5" t="s">
        <v>432</v>
      </c>
      <c r="I153" s="5" t="s">
        <v>79</v>
      </c>
      <c r="J153" s="5" t="s">
        <v>80</v>
      </c>
      <c r="K153" s="5" t="s">
        <v>105</v>
      </c>
      <c r="L153" s="6">
        <v>38099</v>
      </c>
    </row>
    <row r="154" spans="1:12" x14ac:dyDescent="0.25">
      <c r="A154" s="5">
        <v>153</v>
      </c>
      <c r="B154" s="5" t="s">
        <v>161</v>
      </c>
      <c r="C154" s="5" t="s">
        <v>75</v>
      </c>
      <c r="D154" s="5" t="s">
        <v>31</v>
      </c>
      <c r="E154" s="5" t="s">
        <v>268</v>
      </c>
      <c r="F154" s="5" t="s">
        <v>433</v>
      </c>
      <c r="G154" s="5">
        <v>8454971628</v>
      </c>
      <c r="H154" s="5" t="s">
        <v>434</v>
      </c>
      <c r="I154" s="5" t="s">
        <v>79</v>
      </c>
      <c r="J154" s="5" t="s">
        <v>80</v>
      </c>
      <c r="K154" s="5" t="s">
        <v>271</v>
      </c>
      <c r="L154" s="6">
        <v>38051</v>
      </c>
    </row>
    <row r="155" spans="1:12" x14ac:dyDescent="0.25">
      <c r="A155" s="5">
        <v>154</v>
      </c>
      <c r="B155" s="5" t="s">
        <v>347</v>
      </c>
      <c r="C155" s="5" t="s">
        <v>83</v>
      </c>
      <c r="D155" s="5" t="s">
        <v>31</v>
      </c>
      <c r="E155" s="5" t="s">
        <v>268</v>
      </c>
      <c r="F155" s="5" t="s">
        <v>435</v>
      </c>
      <c r="G155" s="5">
        <v>7991325164</v>
      </c>
      <c r="H155" s="5" t="s">
        <v>436</v>
      </c>
      <c r="I155" s="5" t="s">
        <v>79</v>
      </c>
      <c r="J155" s="5" t="s">
        <v>112</v>
      </c>
      <c r="K155" s="5" t="s">
        <v>271</v>
      </c>
      <c r="L155" s="6">
        <v>38119</v>
      </c>
    </row>
    <row r="156" spans="1:12" x14ac:dyDescent="0.25">
      <c r="A156" s="5">
        <v>155</v>
      </c>
      <c r="B156" s="5" t="s">
        <v>297</v>
      </c>
      <c r="C156" s="5" t="s">
        <v>75</v>
      </c>
      <c r="D156" s="5" t="s">
        <v>31</v>
      </c>
      <c r="E156" s="5" t="s">
        <v>308</v>
      </c>
      <c r="F156" s="5" t="s">
        <v>401</v>
      </c>
      <c r="G156" s="5">
        <v>9411157207</v>
      </c>
      <c r="H156" s="5" t="s">
        <v>437</v>
      </c>
      <c r="I156" s="5" t="s">
        <v>79</v>
      </c>
      <c r="J156" s="5" t="s">
        <v>129</v>
      </c>
      <c r="K156" s="5" t="s">
        <v>288</v>
      </c>
      <c r="L156" s="6">
        <v>38331</v>
      </c>
    </row>
    <row r="157" spans="1:12" x14ac:dyDescent="0.25">
      <c r="A157" s="5">
        <v>156</v>
      </c>
      <c r="B157" s="5" t="s">
        <v>74</v>
      </c>
      <c r="C157" s="5" t="s">
        <v>75</v>
      </c>
      <c r="D157" s="5" t="s">
        <v>31</v>
      </c>
      <c r="E157" s="5" t="s">
        <v>438</v>
      </c>
      <c r="F157" s="5" t="s">
        <v>439</v>
      </c>
      <c r="G157" s="5">
        <v>8065078076</v>
      </c>
      <c r="H157" s="5" t="s">
        <v>440</v>
      </c>
      <c r="I157" s="5" t="s">
        <v>158</v>
      </c>
      <c r="J157" s="5" t="s">
        <v>80</v>
      </c>
      <c r="K157" s="5" t="s">
        <v>400</v>
      </c>
      <c r="L157" s="6">
        <v>38427</v>
      </c>
    </row>
    <row r="158" spans="1:12" x14ac:dyDescent="0.25">
      <c r="A158" s="5">
        <v>157</v>
      </c>
      <c r="B158" s="5" t="s">
        <v>215</v>
      </c>
      <c r="C158" s="5" t="s">
        <v>83</v>
      </c>
      <c r="D158" s="5" t="s">
        <v>31</v>
      </c>
      <c r="E158" s="5" t="s">
        <v>224</v>
      </c>
      <c r="F158" s="5" t="s">
        <v>426</v>
      </c>
      <c r="G158" s="5">
        <v>9241712646</v>
      </c>
      <c r="H158" s="5" t="s">
        <v>441</v>
      </c>
      <c r="I158" s="5" t="s">
        <v>158</v>
      </c>
      <c r="J158" s="5" t="s">
        <v>80</v>
      </c>
      <c r="K158" s="5" t="s">
        <v>105</v>
      </c>
      <c r="L158" s="6">
        <v>38553</v>
      </c>
    </row>
    <row r="159" spans="1:12" x14ac:dyDescent="0.25">
      <c r="A159" s="5">
        <v>158</v>
      </c>
      <c r="B159" s="5" t="s">
        <v>442</v>
      </c>
      <c r="C159" s="5" t="s">
        <v>83</v>
      </c>
      <c r="D159" s="5" t="s">
        <v>31</v>
      </c>
      <c r="E159" s="5" t="s">
        <v>397</v>
      </c>
      <c r="F159" s="5" t="s">
        <v>443</v>
      </c>
      <c r="G159" s="5">
        <v>7782400916</v>
      </c>
      <c r="H159" s="5" t="s">
        <v>444</v>
      </c>
      <c r="I159" s="5" t="s">
        <v>158</v>
      </c>
      <c r="J159" s="5" t="s">
        <v>112</v>
      </c>
      <c r="K159" s="5" t="s">
        <v>400</v>
      </c>
      <c r="L159" s="6">
        <v>38609</v>
      </c>
    </row>
    <row r="160" spans="1:12" x14ac:dyDescent="0.25">
      <c r="A160" s="5">
        <v>159</v>
      </c>
      <c r="B160" s="5" t="s">
        <v>317</v>
      </c>
      <c r="C160" s="5" t="s">
        <v>75</v>
      </c>
      <c r="D160" s="5" t="s">
        <v>31</v>
      </c>
      <c r="E160" s="5" t="s">
        <v>403</v>
      </c>
      <c r="F160" s="5" t="s">
        <v>445</v>
      </c>
      <c r="G160" s="5">
        <v>8124752696</v>
      </c>
      <c r="H160" s="5" t="s">
        <v>446</v>
      </c>
      <c r="I160" s="5" t="s">
        <v>158</v>
      </c>
      <c r="J160" s="5" t="s">
        <v>112</v>
      </c>
      <c r="K160" s="5" t="s">
        <v>400</v>
      </c>
      <c r="L160" s="6">
        <v>38712</v>
      </c>
    </row>
    <row r="161" spans="1:12" x14ac:dyDescent="0.25">
      <c r="A161" s="5">
        <v>160</v>
      </c>
      <c r="B161" s="5" t="s">
        <v>360</v>
      </c>
      <c r="C161" s="5" t="s">
        <v>75</v>
      </c>
      <c r="D161" s="5" t="s">
        <v>31</v>
      </c>
      <c r="E161" s="5" t="s">
        <v>292</v>
      </c>
      <c r="F161" s="5" t="s">
        <v>447</v>
      </c>
      <c r="G161" s="5">
        <v>6363823836</v>
      </c>
      <c r="H161" s="5" t="s">
        <v>448</v>
      </c>
      <c r="I161" s="5" t="s">
        <v>158</v>
      </c>
      <c r="J161" s="5" t="s">
        <v>159</v>
      </c>
      <c r="K161" s="5" t="s">
        <v>288</v>
      </c>
      <c r="L161" s="6">
        <v>38421</v>
      </c>
    </row>
    <row r="162" spans="1:12" x14ac:dyDescent="0.25">
      <c r="A162" s="5">
        <v>161</v>
      </c>
      <c r="B162" s="5" t="s">
        <v>360</v>
      </c>
      <c r="C162" s="5" t="s">
        <v>75</v>
      </c>
      <c r="D162" s="5" t="s">
        <v>31</v>
      </c>
      <c r="E162" s="5" t="s">
        <v>438</v>
      </c>
      <c r="F162" s="5" t="s">
        <v>447</v>
      </c>
      <c r="G162" s="5">
        <v>7239960639</v>
      </c>
      <c r="H162" s="5" t="s">
        <v>449</v>
      </c>
      <c r="I162" s="5" t="s">
        <v>158</v>
      </c>
      <c r="J162" s="5" t="s">
        <v>80</v>
      </c>
      <c r="K162" s="5" t="s">
        <v>400</v>
      </c>
      <c r="L162" s="6">
        <v>38658</v>
      </c>
    </row>
    <row r="163" spans="1:12" x14ac:dyDescent="0.25">
      <c r="A163" s="5">
        <v>162</v>
      </c>
      <c r="B163" s="5" t="s">
        <v>450</v>
      </c>
      <c r="C163" s="5" t="s">
        <v>75</v>
      </c>
      <c r="D163" s="5" t="s">
        <v>31</v>
      </c>
      <c r="E163" s="5" t="s">
        <v>397</v>
      </c>
      <c r="F163" s="5" t="s">
        <v>451</v>
      </c>
      <c r="G163" s="5">
        <v>9966027170</v>
      </c>
      <c r="H163" s="5" t="s">
        <v>452</v>
      </c>
      <c r="I163" s="5" t="s">
        <v>158</v>
      </c>
      <c r="J163" s="5" t="s">
        <v>80</v>
      </c>
      <c r="K163" s="5" t="s">
        <v>400</v>
      </c>
      <c r="L163" s="6">
        <v>38557</v>
      </c>
    </row>
    <row r="164" spans="1:12" x14ac:dyDescent="0.25">
      <c r="A164" s="5">
        <v>163</v>
      </c>
      <c r="B164" s="5" t="s">
        <v>177</v>
      </c>
      <c r="C164" s="5" t="s">
        <v>75</v>
      </c>
      <c r="D164" s="5" t="s">
        <v>31</v>
      </c>
      <c r="E164" s="5" t="s">
        <v>403</v>
      </c>
      <c r="F164" s="5" t="s">
        <v>453</v>
      </c>
      <c r="G164" s="5">
        <v>9667059722</v>
      </c>
      <c r="H164" s="5" t="s">
        <v>454</v>
      </c>
      <c r="I164" s="5" t="s">
        <v>158</v>
      </c>
      <c r="J164" s="5" t="s">
        <v>159</v>
      </c>
      <c r="K164" s="5" t="s">
        <v>400</v>
      </c>
      <c r="L164" s="6">
        <v>38445</v>
      </c>
    </row>
    <row r="165" spans="1:12" x14ac:dyDescent="0.25">
      <c r="A165" s="5">
        <v>164</v>
      </c>
      <c r="B165" s="5" t="s">
        <v>236</v>
      </c>
      <c r="C165" s="5" t="s">
        <v>75</v>
      </c>
      <c r="D165" s="5" t="s">
        <v>31</v>
      </c>
      <c r="E165" s="5" t="s">
        <v>285</v>
      </c>
      <c r="F165" s="5" t="s">
        <v>455</v>
      </c>
      <c r="G165" s="5">
        <v>7297652338</v>
      </c>
      <c r="H165" s="5" t="s">
        <v>456</v>
      </c>
      <c r="I165" s="5" t="s">
        <v>158</v>
      </c>
      <c r="J165" s="5" t="s">
        <v>80</v>
      </c>
      <c r="K165" s="5" t="s">
        <v>288</v>
      </c>
      <c r="L165" s="6">
        <v>38443</v>
      </c>
    </row>
    <row r="166" spans="1:12" x14ac:dyDescent="0.25">
      <c r="A166" s="5">
        <v>165</v>
      </c>
      <c r="B166" s="5" t="s">
        <v>457</v>
      </c>
      <c r="C166" s="5" t="s">
        <v>75</v>
      </c>
      <c r="D166" s="5" t="s">
        <v>31</v>
      </c>
      <c r="E166" s="5" t="s">
        <v>102</v>
      </c>
      <c r="F166" s="5" t="s">
        <v>458</v>
      </c>
      <c r="G166" s="5">
        <v>8649921414</v>
      </c>
      <c r="H166" s="5" t="s">
        <v>459</v>
      </c>
      <c r="I166" s="5" t="s">
        <v>158</v>
      </c>
      <c r="J166" s="5" t="s">
        <v>159</v>
      </c>
      <c r="K166" s="5" t="s">
        <v>105</v>
      </c>
      <c r="L166" s="6">
        <v>38538</v>
      </c>
    </row>
    <row r="167" spans="1:12" x14ac:dyDescent="0.25">
      <c r="A167" s="5">
        <v>166</v>
      </c>
      <c r="B167" s="5" t="s">
        <v>347</v>
      </c>
      <c r="C167" s="5" t="s">
        <v>75</v>
      </c>
      <c r="D167" s="5" t="s">
        <v>31</v>
      </c>
      <c r="E167" s="5" t="s">
        <v>438</v>
      </c>
      <c r="F167" s="5" t="s">
        <v>435</v>
      </c>
      <c r="G167" s="5">
        <v>7971580869</v>
      </c>
      <c r="H167" s="5" t="s">
        <v>460</v>
      </c>
      <c r="I167" s="5" t="s">
        <v>158</v>
      </c>
      <c r="J167" s="5" t="s">
        <v>80</v>
      </c>
      <c r="K167" s="5" t="s">
        <v>400</v>
      </c>
      <c r="L167" s="6">
        <v>38660</v>
      </c>
    </row>
    <row r="168" spans="1:12" x14ac:dyDescent="0.25">
      <c r="A168" s="5">
        <v>167</v>
      </c>
      <c r="B168" s="5" t="s">
        <v>276</v>
      </c>
      <c r="C168" s="5" t="s">
        <v>75</v>
      </c>
      <c r="D168" s="5" t="s">
        <v>31</v>
      </c>
      <c r="E168" s="5" t="s">
        <v>277</v>
      </c>
      <c r="F168" s="5" t="s">
        <v>461</v>
      </c>
      <c r="G168" s="5">
        <v>6217114868</v>
      </c>
      <c r="H168" s="5" t="s">
        <v>462</v>
      </c>
      <c r="I168" s="5" t="s">
        <v>158</v>
      </c>
      <c r="J168" s="5" t="s">
        <v>129</v>
      </c>
      <c r="K168" s="5" t="s">
        <v>271</v>
      </c>
      <c r="L168" s="6">
        <v>38640</v>
      </c>
    </row>
    <row r="169" spans="1:12" x14ac:dyDescent="0.25">
      <c r="A169" s="5">
        <v>168</v>
      </c>
      <c r="B169" s="5" t="s">
        <v>91</v>
      </c>
      <c r="C169" s="5" t="s">
        <v>83</v>
      </c>
      <c r="D169" s="5" t="s">
        <v>31</v>
      </c>
      <c r="E169" s="5" t="s">
        <v>438</v>
      </c>
      <c r="F169" s="5" t="s">
        <v>463</v>
      </c>
      <c r="G169" s="5">
        <v>8597414919</v>
      </c>
      <c r="H169" s="5" t="s">
        <v>464</v>
      </c>
      <c r="I169" s="5" t="s">
        <v>158</v>
      </c>
      <c r="J169" s="5" t="s">
        <v>80</v>
      </c>
      <c r="K169" s="5" t="s">
        <v>400</v>
      </c>
      <c r="L169" s="6">
        <v>38528</v>
      </c>
    </row>
    <row r="170" spans="1:12" x14ac:dyDescent="0.25">
      <c r="A170" s="5">
        <v>169</v>
      </c>
      <c r="B170" s="5" t="s">
        <v>360</v>
      </c>
      <c r="C170" s="5" t="s">
        <v>75</v>
      </c>
      <c r="D170" s="5" t="s">
        <v>31</v>
      </c>
      <c r="E170" s="5" t="s">
        <v>224</v>
      </c>
      <c r="F170" s="5" t="s">
        <v>447</v>
      </c>
      <c r="G170" s="5">
        <v>6108786535</v>
      </c>
      <c r="H170" s="5" t="s">
        <v>465</v>
      </c>
      <c r="I170" s="5" t="s">
        <v>158</v>
      </c>
      <c r="J170" s="5" t="s">
        <v>129</v>
      </c>
      <c r="K170" s="5" t="s">
        <v>105</v>
      </c>
      <c r="L170" s="6">
        <v>38609</v>
      </c>
    </row>
    <row r="171" spans="1:12" x14ac:dyDescent="0.25">
      <c r="A171" s="5">
        <v>170</v>
      </c>
      <c r="B171" s="5" t="s">
        <v>420</v>
      </c>
      <c r="C171" s="5" t="s">
        <v>83</v>
      </c>
      <c r="D171" s="5" t="s">
        <v>31</v>
      </c>
      <c r="E171" s="5" t="s">
        <v>438</v>
      </c>
      <c r="F171" s="5" t="s">
        <v>421</v>
      </c>
      <c r="G171" s="5">
        <v>6054498720</v>
      </c>
      <c r="H171" s="5" t="s">
        <v>466</v>
      </c>
      <c r="I171" s="5" t="s">
        <v>158</v>
      </c>
      <c r="J171" s="5" t="s">
        <v>80</v>
      </c>
      <c r="K171" s="5" t="s">
        <v>400</v>
      </c>
      <c r="L171" s="6">
        <v>38362</v>
      </c>
    </row>
    <row r="172" spans="1:12" x14ac:dyDescent="0.25">
      <c r="A172" s="5">
        <v>171</v>
      </c>
      <c r="B172" s="5" t="s">
        <v>317</v>
      </c>
      <c r="C172" s="5" t="s">
        <v>83</v>
      </c>
      <c r="D172" s="5" t="s">
        <v>31</v>
      </c>
      <c r="E172" s="5" t="s">
        <v>467</v>
      </c>
      <c r="F172" s="5" t="s">
        <v>445</v>
      </c>
      <c r="G172" s="5">
        <v>6478595663</v>
      </c>
      <c r="H172" s="5" t="s">
        <v>468</v>
      </c>
      <c r="I172" s="5" t="s">
        <v>158</v>
      </c>
      <c r="J172" s="5" t="s">
        <v>80</v>
      </c>
      <c r="K172" s="5" t="s">
        <v>400</v>
      </c>
      <c r="L172" s="6">
        <v>38454</v>
      </c>
    </row>
    <row r="173" spans="1:12" x14ac:dyDescent="0.25">
      <c r="A173" s="5">
        <v>172</v>
      </c>
      <c r="B173" s="5" t="s">
        <v>360</v>
      </c>
      <c r="C173" s="5" t="s">
        <v>75</v>
      </c>
      <c r="D173" s="5" t="s">
        <v>31</v>
      </c>
      <c r="E173" s="5" t="s">
        <v>268</v>
      </c>
      <c r="F173" s="5" t="s">
        <v>447</v>
      </c>
      <c r="G173" s="5">
        <v>6485842728</v>
      </c>
      <c r="H173" s="5" t="s">
        <v>469</v>
      </c>
      <c r="I173" s="5" t="s">
        <v>158</v>
      </c>
      <c r="J173" s="5" t="s">
        <v>80</v>
      </c>
      <c r="K173" s="5" t="s">
        <v>271</v>
      </c>
      <c r="L173" s="6">
        <v>38458</v>
      </c>
    </row>
    <row r="174" spans="1:12" x14ac:dyDescent="0.25">
      <c r="A174" s="5">
        <v>173</v>
      </c>
      <c r="B174" s="5" t="s">
        <v>183</v>
      </c>
      <c r="C174" s="5" t="s">
        <v>83</v>
      </c>
      <c r="D174" s="5" t="s">
        <v>31</v>
      </c>
      <c r="E174" s="5" t="s">
        <v>467</v>
      </c>
      <c r="F174" s="5" t="s">
        <v>470</v>
      </c>
      <c r="G174" s="5">
        <v>9130475532</v>
      </c>
      <c r="H174" s="5" t="s">
        <v>471</v>
      </c>
      <c r="I174" s="5" t="s">
        <v>158</v>
      </c>
      <c r="J174" s="5" t="s">
        <v>80</v>
      </c>
      <c r="K174" s="5" t="s">
        <v>400</v>
      </c>
      <c r="L174" s="6">
        <v>38576</v>
      </c>
    </row>
    <row r="175" spans="1:12" x14ac:dyDescent="0.25">
      <c r="A175" s="5">
        <v>174</v>
      </c>
      <c r="B175" s="5" t="s">
        <v>82</v>
      </c>
      <c r="C175" s="5" t="s">
        <v>75</v>
      </c>
      <c r="D175" s="5" t="s">
        <v>31</v>
      </c>
      <c r="E175" s="5" t="s">
        <v>403</v>
      </c>
      <c r="F175" s="5" t="s">
        <v>472</v>
      </c>
      <c r="G175" s="5">
        <v>6968992397</v>
      </c>
      <c r="H175" s="5" t="s">
        <v>473</v>
      </c>
      <c r="I175" s="5" t="s">
        <v>158</v>
      </c>
      <c r="J175" s="5" t="s">
        <v>80</v>
      </c>
      <c r="K175" s="5" t="s">
        <v>400</v>
      </c>
      <c r="L175" s="6">
        <v>38620</v>
      </c>
    </row>
    <row r="176" spans="1:12" x14ac:dyDescent="0.25">
      <c r="A176" s="5">
        <v>175</v>
      </c>
      <c r="B176" s="5" t="s">
        <v>7</v>
      </c>
      <c r="C176" s="5" t="s">
        <v>75</v>
      </c>
      <c r="D176" s="5" t="s">
        <v>31</v>
      </c>
      <c r="E176" s="5" t="s">
        <v>467</v>
      </c>
      <c r="F176" s="5" t="s">
        <v>474</v>
      </c>
      <c r="G176" s="5">
        <v>9536058735</v>
      </c>
      <c r="H176" s="5" t="s">
        <v>475</v>
      </c>
      <c r="I176" s="5" t="s">
        <v>158</v>
      </c>
      <c r="J176" s="5" t="s">
        <v>80</v>
      </c>
      <c r="K176" s="5" t="s">
        <v>400</v>
      </c>
      <c r="L176" s="6">
        <v>38670</v>
      </c>
    </row>
    <row r="177" spans="1:12" x14ac:dyDescent="0.25">
      <c r="A177" s="5">
        <v>176</v>
      </c>
      <c r="B177" s="5" t="s">
        <v>476</v>
      </c>
      <c r="C177" s="5" t="s">
        <v>75</v>
      </c>
      <c r="D177" s="5" t="s">
        <v>31</v>
      </c>
      <c r="E177" s="5" t="s">
        <v>106</v>
      </c>
      <c r="F177" s="5" t="s">
        <v>477</v>
      </c>
      <c r="G177" s="5">
        <v>6987016970</v>
      </c>
      <c r="H177" s="5" t="s">
        <v>478</v>
      </c>
      <c r="I177" s="5" t="s">
        <v>158</v>
      </c>
      <c r="J177" s="5" t="s">
        <v>80</v>
      </c>
      <c r="K177" s="5" t="s">
        <v>105</v>
      </c>
      <c r="L177" s="6">
        <v>38582</v>
      </c>
    </row>
    <row r="178" spans="1:12" x14ac:dyDescent="0.25">
      <c r="A178" s="5">
        <v>177</v>
      </c>
      <c r="B178" s="5" t="s">
        <v>8</v>
      </c>
      <c r="C178" s="5" t="s">
        <v>75</v>
      </c>
      <c r="D178" s="5" t="s">
        <v>31</v>
      </c>
      <c r="E178" s="5" t="s">
        <v>467</v>
      </c>
      <c r="F178" s="5" t="s">
        <v>479</v>
      </c>
      <c r="G178" s="5">
        <v>6022778796</v>
      </c>
      <c r="H178" s="5" t="s">
        <v>480</v>
      </c>
      <c r="I178" s="5" t="s">
        <v>158</v>
      </c>
      <c r="J178" s="5" t="s">
        <v>80</v>
      </c>
      <c r="K178" s="5" t="s">
        <v>400</v>
      </c>
      <c r="L178" s="6">
        <v>38539</v>
      </c>
    </row>
    <row r="179" spans="1:12" x14ac:dyDescent="0.25">
      <c r="A179" s="5">
        <v>178</v>
      </c>
      <c r="B179" s="5" t="s">
        <v>393</v>
      </c>
      <c r="C179" s="5" t="s">
        <v>75</v>
      </c>
      <c r="D179" s="5" t="s">
        <v>31</v>
      </c>
      <c r="E179" s="5" t="s">
        <v>224</v>
      </c>
      <c r="F179" s="5" t="s">
        <v>394</v>
      </c>
      <c r="G179" s="5">
        <v>7988469034</v>
      </c>
      <c r="H179" s="5" t="s">
        <v>481</v>
      </c>
      <c r="I179" s="5" t="s">
        <v>158</v>
      </c>
      <c r="J179" s="5" t="s">
        <v>80</v>
      </c>
      <c r="K179" s="5" t="s">
        <v>105</v>
      </c>
      <c r="L179" s="6">
        <v>38388</v>
      </c>
    </row>
    <row r="180" spans="1:12" x14ac:dyDescent="0.25">
      <c r="A180" s="5">
        <v>179</v>
      </c>
      <c r="B180" s="5" t="s">
        <v>230</v>
      </c>
      <c r="C180" s="5" t="s">
        <v>83</v>
      </c>
      <c r="D180" s="5" t="s">
        <v>31</v>
      </c>
      <c r="E180" s="5" t="s">
        <v>467</v>
      </c>
      <c r="F180" s="5" t="s">
        <v>482</v>
      </c>
      <c r="G180" s="5">
        <v>6675566478</v>
      </c>
      <c r="H180" s="5" t="s">
        <v>483</v>
      </c>
      <c r="I180" s="5" t="s">
        <v>158</v>
      </c>
      <c r="J180" s="5" t="s">
        <v>80</v>
      </c>
      <c r="K180" s="5" t="s">
        <v>400</v>
      </c>
      <c r="L180" s="6">
        <v>38399</v>
      </c>
    </row>
    <row r="181" spans="1:12" x14ac:dyDescent="0.25">
      <c r="A181" s="5">
        <v>180</v>
      </c>
      <c r="B181" s="5" t="s">
        <v>384</v>
      </c>
      <c r="C181" s="5" t="s">
        <v>75</v>
      </c>
      <c r="D181" s="5" t="s">
        <v>31</v>
      </c>
      <c r="E181" s="5" t="s">
        <v>403</v>
      </c>
      <c r="F181" s="5" t="s">
        <v>484</v>
      </c>
      <c r="G181" s="5">
        <v>8253719917</v>
      </c>
      <c r="H181" s="5" t="s">
        <v>485</v>
      </c>
      <c r="I181" s="5" t="s">
        <v>206</v>
      </c>
      <c r="J181" s="5" t="s">
        <v>129</v>
      </c>
      <c r="K181" s="5" t="s">
        <v>400</v>
      </c>
      <c r="L181" s="6">
        <v>38724</v>
      </c>
    </row>
    <row r="182" spans="1:12" x14ac:dyDescent="0.25">
      <c r="A182" s="5">
        <v>181</v>
      </c>
      <c r="B182" s="5" t="s">
        <v>486</v>
      </c>
      <c r="C182" s="5" t="s">
        <v>83</v>
      </c>
      <c r="D182" s="5" t="s">
        <v>31</v>
      </c>
      <c r="E182" s="5" t="s">
        <v>102</v>
      </c>
      <c r="F182" s="5" t="s">
        <v>487</v>
      </c>
      <c r="G182" s="5">
        <v>9801564996</v>
      </c>
      <c r="H182" s="5" t="s">
        <v>488</v>
      </c>
      <c r="I182" s="5" t="s">
        <v>206</v>
      </c>
      <c r="J182" s="5" t="s">
        <v>80</v>
      </c>
      <c r="K182" s="5" t="s">
        <v>105</v>
      </c>
      <c r="L182" s="6">
        <v>38901</v>
      </c>
    </row>
    <row r="183" spans="1:12" x14ac:dyDescent="0.25">
      <c r="A183" s="5">
        <v>182</v>
      </c>
      <c r="B183" s="5" t="s">
        <v>165</v>
      </c>
      <c r="C183" s="5" t="s">
        <v>75</v>
      </c>
      <c r="D183" s="5" t="s">
        <v>31</v>
      </c>
      <c r="E183" s="5" t="s">
        <v>438</v>
      </c>
      <c r="F183" s="5" t="s">
        <v>489</v>
      </c>
      <c r="G183" s="5">
        <v>8647014797</v>
      </c>
      <c r="H183" s="5" t="s">
        <v>490</v>
      </c>
      <c r="I183" s="5" t="s">
        <v>206</v>
      </c>
      <c r="J183" s="5" t="s">
        <v>80</v>
      </c>
      <c r="K183" s="5" t="s">
        <v>400</v>
      </c>
      <c r="L183" s="6">
        <v>38887</v>
      </c>
    </row>
    <row r="184" spans="1:12" x14ac:dyDescent="0.25">
      <c r="A184" s="5">
        <v>183</v>
      </c>
      <c r="B184" s="5" t="s">
        <v>491</v>
      </c>
      <c r="C184" s="5" t="s">
        <v>83</v>
      </c>
      <c r="D184" s="5" t="s">
        <v>31</v>
      </c>
      <c r="E184" s="5" t="s">
        <v>106</v>
      </c>
      <c r="F184" s="5" t="s">
        <v>492</v>
      </c>
      <c r="G184" s="5">
        <v>7250867463</v>
      </c>
      <c r="H184" s="5" t="s">
        <v>493</v>
      </c>
      <c r="I184" s="5" t="s">
        <v>206</v>
      </c>
      <c r="J184" s="5" t="s">
        <v>80</v>
      </c>
      <c r="K184" s="5" t="s">
        <v>105</v>
      </c>
      <c r="L184" s="6">
        <v>39042</v>
      </c>
    </row>
    <row r="185" spans="1:12" x14ac:dyDescent="0.25">
      <c r="A185" s="5">
        <v>184</v>
      </c>
      <c r="B185" s="5" t="s">
        <v>494</v>
      </c>
      <c r="C185" s="5" t="s">
        <v>75</v>
      </c>
      <c r="D185" s="5" t="s">
        <v>31</v>
      </c>
      <c r="E185" s="5" t="s">
        <v>397</v>
      </c>
      <c r="F185" s="5" t="s">
        <v>495</v>
      </c>
      <c r="G185" s="5">
        <v>7227047440</v>
      </c>
      <c r="H185" s="5" t="s">
        <v>496</v>
      </c>
      <c r="I185" s="5" t="s">
        <v>206</v>
      </c>
      <c r="J185" s="5" t="s">
        <v>80</v>
      </c>
      <c r="K185" s="5" t="s">
        <v>400</v>
      </c>
      <c r="L185" s="6">
        <v>39048</v>
      </c>
    </row>
    <row r="186" spans="1:12" x14ac:dyDescent="0.25">
      <c r="A186" s="5">
        <v>185</v>
      </c>
      <c r="B186" s="5" t="s">
        <v>141</v>
      </c>
      <c r="C186" s="5" t="s">
        <v>83</v>
      </c>
      <c r="D186" s="5" t="s">
        <v>31</v>
      </c>
      <c r="E186" s="5" t="s">
        <v>438</v>
      </c>
      <c r="F186" s="5" t="s">
        <v>497</v>
      </c>
      <c r="G186" s="5">
        <v>7160407778</v>
      </c>
      <c r="H186" s="5" t="s">
        <v>498</v>
      </c>
      <c r="I186" s="5" t="s">
        <v>206</v>
      </c>
      <c r="J186" s="5" t="s">
        <v>80</v>
      </c>
      <c r="K186" s="5" t="s">
        <v>400</v>
      </c>
      <c r="L186" s="6">
        <v>38909</v>
      </c>
    </row>
    <row r="187" spans="1:12" x14ac:dyDescent="0.25">
      <c r="A187" s="5">
        <v>186</v>
      </c>
      <c r="B187" s="5" t="s">
        <v>276</v>
      </c>
      <c r="C187" s="5" t="s">
        <v>75</v>
      </c>
      <c r="D187" s="5" t="s">
        <v>31</v>
      </c>
      <c r="E187" s="5" t="s">
        <v>467</v>
      </c>
      <c r="F187" s="5" t="s">
        <v>461</v>
      </c>
      <c r="G187" s="5">
        <v>9065028861</v>
      </c>
      <c r="H187" s="5" t="s">
        <v>499</v>
      </c>
      <c r="I187" s="5" t="s">
        <v>206</v>
      </c>
      <c r="J187" s="5" t="s">
        <v>159</v>
      </c>
      <c r="K187" s="5" t="s">
        <v>400</v>
      </c>
      <c r="L187" s="6">
        <v>38721</v>
      </c>
    </row>
    <row r="188" spans="1:12" x14ac:dyDescent="0.25">
      <c r="A188" s="5">
        <v>187</v>
      </c>
      <c r="B188" s="5" t="s">
        <v>450</v>
      </c>
      <c r="C188" s="5" t="s">
        <v>83</v>
      </c>
      <c r="D188" s="5" t="s">
        <v>31</v>
      </c>
      <c r="E188" s="5" t="s">
        <v>403</v>
      </c>
      <c r="F188" s="5" t="s">
        <v>451</v>
      </c>
      <c r="G188" s="5">
        <v>6196751397</v>
      </c>
      <c r="H188" s="5" t="s">
        <v>500</v>
      </c>
      <c r="I188" s="5" t="s">
        <v>206</v>
      </c>
      <c r="J188" s="5" t="s">
        <v>80</v>
      </c>
      <c r="K188" s="5" t="s">
        <v>400</v>
      </c>
      <c r="L188" s="6">
        <v>39024</v>
      </c>
    </row>
    <row r="189" spans="1:12" x14ac:dyDescent="0.25">
      <c r="A189" s="5">
        <v>188</v>
      </c>
      <c r="B189" s="5" t="s">
        <v>95</v>
      </c>
      <c r="C189" s="5" t="s">
        <v>83</v>
      </c>
      <c r="D189" s="5" t="s">
        <v>31</v>
      </c>
      <c r="E189" s="5" t="s">
        <v>289</v>
      </c>
      <c r="F189" s="5" t="s">
        <v>501</v>
      </c>
      <c r="G189" s="5">
        <v>9219576469</v>
      </c>
      <c r="H189" s="5" t="s">
        <v>502</v>
      </c>
      <c r="I189" s="5" t="s">
        <v>206</v>
      </c>
      <c r="J189" s="5" t="s">
        <v>112</v>
      </c>
      <c r="K189" s="5" t="s">
        <v>271</v>
      </c>
      <c r="L189" s="6">
        <v>38781</v>
      </c>
    </row>
    <row r="190" spans="1:12" x14ac:dyDescent="0.25">
      <c r="A190" s="5">
        <v>189</v>
      </c>
      <c r="B190" s="5" t="s">
        <v>203</v>
      </c>
      <c r="C190" s="5" t="s">
        <v>83</v>
      </c>
      <c r="D190" s="5" t="s">
        <v>31</v>
      </c>
      <c r="E190" s="5" t="s">
        <v>331</v>
      </c>
      <c r="F190" s="5" t="s">
        <v>503</v>
      </c>
      <c r="G190" s="5">
        <v>9545832395</v>
      </c>
      <c r="H190" s="5" t="s">
        <v>504</v>
      </c>
      <c r="I190" s="5" t="s">
        <v>206</v>
      </c>
      <c r="J190" s="5" t="s">
        <v>80</v>
      </c>
      <c r="K190" s="5" t="s">
        <v>271</v>
      </c>
      <c r="L190" s="6">
        <v>38946</v>
      </c>
    </row>
    <row r="191" spans="1:12" x14ac:dyDescent="0.25">
      <c r="A191" s="5">
        <v>190</v>
      </c>
      <c r="B191" s="5" t="s">
        <v>505</v>
      </c>
      <c r="C191" s="5" t="s">
        <v>75</v>
      </c>
      <c r="D191" s="5" t="s">
        <v>31</v>
      </c>
      <c r="E191" s="5" t="s">
        <v>131</v>
      </c>
      <c r="F191" s="5" t="s">
        <v>506</v>
      </c>
      <c r="G191" s="5">
        <v>9352409504</v>
      </c>
      <c r="H191" s="5" t="s">
        <v>507</v>
      </c>
      <c r="I191" s="5" t="s">
        <v>206</v>
      </c>
      <c r="J191" s="5" t="s">
        <v>112</v>
      </c>
      <c r="K191" s="5" t="s">
        <v>105</v>
      </c>
      <c r="L191" s="6">
        <v>38776</v>
      </c>
    </row>
    <row r="192" spans="1:12" x14ac:dyDescent="0.25">
      <c r="A192" s="5">
        <v>191</v>
      </c>
      <c r="B192" s="5" t="s">
        <v>6</v>
      </c>
      <c r="C192" s="5" t="s">
        <v>75</v>
      </c>
      <c r="D192" s="5" t="s">
        <v>31</v>
      </c>
      <c r="E192" s="5" t="s">
        <v>268</v>
      </c>
      <c r="F192" s="5" t="s">
        <v>508</v>
      </c>
      <c r="G192" s="5">
        <v>6185189091</v>
      </c>
      <c r="H192" s="5" t="s">
        <v>509</v>
      </c>
      <c r="I192" s="5" t="s">
        <v>206</v>
      </c>
      <c r="J192" s="5" t="s">
        <v>80</v>
      </c>
      <c r="K192" s="5" t="s">
        <v>271</v>
      </c>
      <c r="L192" s="6">
        <v>38936</v>
      </c>
    </row>
    <row r="193" spans="1:12" x14ac:dyDescent="0.25">
      <c r="A193" s="5">
        <v>192</v>
      </c>
      <c r="B193" s="5" t="s">
        <v>218</v>
      </c>
      <c r="C193" s="5" t="s">
        <v>75</v>
      </c>
      <c r="D193" s="5" t="s">
        <v>31</v>
      </c>
      <c r="E193" s="5" t="s">
        <v>438</v>
      </c>
      <c r="F193" s="5" t="s">
        <v>510</v>
      </c>
      <c r="G193" s="5">
        <v>6287520895</v>
      </c>
      <c r="H193" s="5" t="s">
        <v>511</v>
      </c>
      <c r="I193" s="5" t="s">
        <v>206</v>
      </c>
      <c r="J193" s="5" t="s">
        <v>129</v>
      </c>
      <c r="K193" s="5" t="s">
        <v>400</v>
      </c>
      <c r="L193" s="6">
        <v>38947</v>
      </c>
    </row>
    <row r="194" spans="1:12" x14ac:dyDescent="0.25">
      <c r="A194" s="5">
        <v>193</v>
      </c>
      <c r="B194" s="5" t="s">
        <v>347</v>
      </c>
      <c r="C194" s="5" t="s">
        <v>83</v>
      </c>
      <c r="D194" s="5" t="s">
        <v>31</v>
      </c>
      <c r="E194" s="5" t="s">
        <v>467</v>
      </c>
      <c r="F194" s="5" t="s">
        <v>435</v>
      </c>
      <c r="G194" s="5">
        <v>8363080355</v>
      </c>
      <c r="H194" s="5" t="s">
        <v>512</v>
      </c>
      <c r="I194" s="5" t="s">
        <v>206</v>
      </c>
      <c r="J194" s="5" t="s">
        <v>80</v>
      </c>
      <c r="K194" s="5" t="s">
        <v>400</v>
      </c>
      <c r="L194" s="6">
        <v>38719</v>
      </c>
    </row>
    <row r="195" spans="1:12" x14ac:dyDescent="0.25">
      <c r="A195" s="5">
        <v>194</v>
      </c>
      <c r="B195" s="5" t="s">
        <v>183</v>
      </c>
      <c r="C195" s="5" t="s">
        <v>75</v>
      </c>
      <c r="D195" s="5" t="s">
        <v>31</v>
      </c>
      <c r="E195" s="5" t="s">
        <v>308</v>
      </c>
      <c r="F195" s="5" t="s">
        <v>470</v>
      </c>
      <c r="G195" s="5">
        <v>7742325587</v>
      </c>
      <c r="H195" s="5" t="s">
        <v>513</v>
      </c>
      <c r="I195" s="5" t="s">
        <v>206</v>
      </c>
      <c r="J195" s="5" t="s">
        <v>80</v>
      </c>
      <c r="K195" s="5" t="s">
        <v>288</v>
      </c>
      <c r="L195" s="6">
        <v>38869</v>
      </c>
    </row>
    <row r="196" spans="1:12" x14ac:dyDescent="0.25">
      <c r="A196" s="5">
        <v>195</v>
      </c>
      <c r="B196" s="5" t="s">
        <v>514</v>
      </c>
      <c r="C196" s="5" t="s">
        <v>83</v>
      </c>
      <c r="D196" s="5" t="s">
        <v>31</v>
      </c>
      <c r="E196" s="5" t="s">
        <v>351</v>
      </c>
      <c r="F196" s="5" t="s">
        <v>515</v>
      </c>
      <c r="G196" s="5">
        <v>6359966630</v>
      </c>
      <c r="H196" s="5" t="s">
        <v>516</v>
      </c>
      <c r="I196" s="5" t="s">
        <v>206</v>
      </c>
      <c r="J196" s="5" t="s">
        <v>129</v>
      </c>
      <c r="K196" s="5" t="s">
        <v>288</v>
      </c>
      <c r="L196" s="6">
        <v>38767</v>
      </c>
    </row>
    <row r="197" spans="1:12" x14ac:dyDescent="0.25">
      <c r="A197" s="5">
        <v>196</v>
      </c>
      <c r="B197" s="5" t="s">
        <v>230</v>
      </c>
      <c r="C197" s="5" t="s">
        <v>75</v>
      </c>
      <c r="D197" s="5" t="s">
        <v>31</v>
      </c>
      <c r="E197" s="5" t="s">
        <v>277</v>
      </c>
      <c r="F197" s="5" t="s">
        <v>482</v>
      </c>
      <c r="G197" s="5">
        <v>9075792522</v>
      </c>
      <c r="H197" s="5" t="s">
        <v>517</v>
      </c>
      <c r="I197" s="5" t="s">
        <v>206</v>
      </c>
      <c r="J197" s="5" t="s">
        <v>80</v>
      </c>
      <c r="K197" s="5" t="s">
        <v>271</v>
      </c>
      <c r="L197" s="6">
        <v>38909</v>
      </c>
    </row>
    <row r="198" spans="1:12" x14ac:dyDescent="0.25">
      <c r="A198" s="5">
        <v>197</v>
      </c>
      <c r="B198" s="5" t="s">
        <v>122</v>
      </c>
      <c r="C198" s="5" t="s">
        <v>83</v>
      </c>
      <c r="D198" s="5" t="s">
        <v>31</v>
      </c>
      <c r="E198" s="5" t="s">
        <v>285</v>
      </c>
      <c r="F198" s="5" t="s">
        <v>425</v>
      </c>
      <c r="G198" s="5">
        <v>7992698531</v>
      </c>
      <c r="H198" s="5" t="s">
        <v>518</v>
      </c>
      <c r="I198" s="5" t="s">
        <v>206</v>
      </c>
      <c r="J198" s="5" t="s">
        <v>80</v>
      </c>
      <c r="K198" s="5" t="s">
        <v>288</v>
      </c>
      <c r="L198" s="6">
        <v>38934</v>
      </c>
    </row>
    <row r="199" spans="1:12" x14ac:dyDescent="0.25">
      <c r="A199" s="5">
        <v>198</v>
      </c>
      <c r="B199" s="5" t="s">
        <v>230</v>
      </c>
      <c r="C199" s="5" t="s">
        <v>75</v>
      </c>
      <c r="D199" s="5" t="s">
        <v>31</v>
      </c>
      <c r="E199" s="5" t="s">
        <v>403</v>
      </c>
      <c r="F199" s="5" t="s">
        <v>482</v>
      </c>
      <c r="G199" s="5">
        <v>8020880800</v>
      </c>
      <c r="H199" s="5" t="s">
        <v>519</v>
      </c>
      <c r="I199" s="5" t="s">
        <v>206</v>
      </c>
      <c r="J199" s="5" t="s">
        <v>80</v>
      </c>
      <c r="K199" s="5" t="s">
        <v>400</v>
      </c>
      <c r="L199" s="6">
        <v>38967</v>
      </c>
    </row>
    <row r="200" spans="1:12" x14ac:dyDescent="0.25">
      <c r="A200" s="5">
        <v>199</v>
      </c>
      <c r="B200" s="5" t="s">
        <v>233</v>
      </c>
      <c r="C200" s="5" t="s">
        <v>83</v>
      </c>
      <c r="D200" s="5" t="s">
        <v>31</v>
      </c>
      <c r="E200" s="5" t="s">
        <v>403</v>
      </c>
      <c r="F200" s="5" t="s">
        <v>413</v>
      </c>
      <c r="G200" s="5">
        <v>6315611126</v>
      </c>
      <c r="H200" s="5" t="s">
        <v>520</v>
      </c>
      <c r="I200" s="5" t="s">
        <v>206</v>
      </c>
      <c r="J200" s="5" t="s">
        <v>80</v>
      </c>
      <c r="K200" s="5" t="s">
        <v>400</v>
      </c>
      <c r="L200" s="6">
        <v>39034</v>
      </c>
    </row>
    <row r="201" spans="1:12" x14ac:dyDescent="0.25">
      <c r="A201" s="5">
        <v>200</v>
      </c>
      <c r="B201" s="5" t="s">
        <v>74</v>
      </c>
      <c r="C201" s="5" t="s">
        <v>83</v>
      </c>
      <c r="D201" s="5" t="s">
        <v>31</v>
      </c>
      <c r="E201" s="5" t="s">
        <v>308</v>
      </c>
      <c r="F201" s="5" t="s">
        <v>439</v>
      </c>
      <c r="G201" s="5">
        <v>6230719641</v>
      </c>
      <c r="H201" s="5" t="s">
        <v>521</v>
      </c>
      <c r="I201" s="5" t="s">
        <v>247</v>
      </c>
      <c r="J201" s="5" t="s">
        <v>80</v>
      </c>
      <c r="K201" s="5" t="s">
        <v>288</v>
      </c>
      <c r="L201" s="6">
        <v>39190</v>
      </c>
    </row>
    <row r="202" spans="1:12" x14ac:dyDescent="0.25">
      <c r="A202" s="5">
        <v>201</v>
      </c>
      <c r="B202" s="5" t="s">
        <v>168</v>
      </c>
      <c r="C202" s="5" t="s">
        <v>83</v>
      </c>
      <c r="D202" s="5" t="s">
        <v>31</v>
      </c>
      <c r="E202" s="5" t="s">
        <v>438</v>
      </c>
      <c r="F202" s="5" t="s">
        <v>522</v>
      </c>
      <c r="G202" s="5">
        <v>7232967016</v>
      </c>
      <c r="H202" s="5" t="s">
        <v>502</v>
      </c>
      <c r="I202" s="5" t="s">
        <v>247</v>
      </c>
      <c r="J202" s="5" t="s">
        <v>80</v>
      </c>
      <c r="K202" s="5" t="s">
        <v>400</v>
      </c>
      <c r="L202" s="6">
        <v>39275</v>
      </c>
    </row>
    <row r="203" spans="1:12" x14ac:dyDescent="0.25">
      <c r="A203" s="5">
        <v>202</v>
      </c>
      <c r="B203" s="5" t="s">
        <v>116</v>
      </c>
      <c r="C203" s="5" t="s">
        <v>83</v>
      </c>
      <c r="D203" s="5" t="s">
        <v>31</v>
      </c>
      <c r="E203" s="5" t="s">
        <v>403</v>
      </c>
      <c r="F203" s="5" t="s">
        <v>523</v>
      </c>
      <c r="G203" s="5">
        <v>9424071357</v>
      </c>
      <c r="H203" s="5" t="s">
        <v>524</v>
      </c>
      <c r="I203" s="5" t="s">
        <v>247</v>
      </c>
      <c r="J203" s="5" t="s">
        <v>112</v>
      </c>
      <c r="K203" s="5" t="s">
        <v>400</v>
      </c>
      <c r="L203" s="6">
        <v>39083</v>
      </c>
    </row>
    <row r="204" spans="1:12" x14ac:dyDescent="0.25">
      <c r="A204" s="5">
        <v>203</v>
      </c>
      <c r="B204" s="5" t="s">
        <v>377</v>
      </c>
      <c r="C204" s="5" t="s">
        <v>83</v>
      </c>
      <c r="D204" s="5" t="s">
        <v>31</v>
      </c>
      <c r="E204" s="5" t="s">
        <v>268</v>
      </c>
      <c r="F204" s="5" t="s">
        <v>525</v>
      </c>
      <c r="G204" s="5">
        <v>6761798273</v>
      </c>
      <c r="H204" s="5" t="s">
        <v>526</v>
      </c>
      <c r="I204" s="5" t="s">
        <v>247</v>
      </c>
      <c r="J204" s="5" t="s">
        <v>80</v>
      </c>
      <c r="K204" s="5" t="s">
        <v>271</v>
      </c>
      <c r="L204" s="6">
        <v>39276</v>
      </c>
    </row>
    <row r="205" spans="1:12" x14ac:dyDescent="0.25">
      <c r="A205" s="5">
        <v>204</v>
      </c>
      <c r="B205" s="5" t="s">
        <v>527</v>
      </c>
      <c r="C205" s="5" t="s">
        <v>75</v>
      </c>
      <c r="D205" s="5" t="s">
        <v>31</v>
      </c>
      <c r="E205" s="5" t="s">
        <v>403</v>
      </c>
      <c r="F205" s="5" t="s">
        <v>528</v>
      </c>
      <c r="G205" s="5">
        <v>7227694099</v>
      </c>
      <c r="H205" s="5" t="s">
        <v>529</v>
      </c>
      <c r="I205" s="5" t="s">
        <v>247</v>
      </c>
      <c r="J205" s="5" t="s">
        <v>159</v>
      </c>
      <c r="K205" s="5" t="s">
        <v>400</v>
      </c>
      <c r="L205" s="6">
        <v>39282</v>
      </c>
    </row>
    <row r="206" spans="1:12" x14ac:dyDescent="0.25">
      <c r="A206" s="5">
        <v>205</v>
      </c>
      <c r="B206" s="5" t="s">
        <v>195</v>
      </c>
      <c r="C206" s="5" t="s">
        <v>75</v>
      </c>
      <c r="D206" s="5" t="s">
        <v>31</v>
      </c>
      <c r="E206" s="5" t="s">
        <v>467</v>
      </c>
      <c r="F206" s="5" t="s">
        <v>530</v>
      </c>
      <c r="G206" s="5">
        <v>7337208987</v>
      </c>
      <c r="H206" s="5" t="s">
        <v>531</v>
      </c>
      <c r="I206" s="5" t="s">
        <v>247</v>
      </c>
      <c r="J206" s="5" t="s">
        <v>129</v>
      </c>
      <c r="K206" s="5" t="s">
        <v>400</v>
      </c>
      <c r="L206" s="6">
        <v>39196</v>
      </c>
    </row>
    <row r="207" spans="1:12" x14ac:dyDescent="0.25">
      <c r="A207" s="5">
        <v>206</v>
      </c>
      <c r="B207" s="5" t="s">
        <v>317</v>
      </c>
      <c r="C207" s="5" t="s">
        <v>83</v>
      </c>
      <c r="D207" s="5" t="s">
        <v>31</v>
      </c>
      <c r="E207" s="5" t="s">
        <v>351</v>
      </c>
      <c r="F207" s="5" t="s">
        <v>445</v>
      </c>
      <c r="G207" s="5">
        <v>9264804791</v>
      </c>
      <c r="H207" s="5" t="s">
        <v>532</v>
      </c>
      <c r="I207" s="5" t="s">
        <v>247</v>
      </c>
      <c r="J207" s="5" t="s">
        <v>80</v>
      </c>
      <c r="K207" s="5" t="s">
        <v>288</v>
      </c>
      <c r="L207" s="6">
        <v>39223</v>
      </c>
    </row>
    <row r="208" spans="1:12" x14ac:dyDescent="0.25">
      <c r="A208" s="5">
        <v>207</v>
      </c>
      <c r="B208" s="5" t="s">
        <v>259</v>
      </c>
      <c r="C208" s="5" t="s">
        <v>75</v>
      </c>
      <c r="D208" s="5" t="s">
        <v>31</v>
      </c>
      <c r="E208" s="5" t="s">
        <v>268</v>
      </c>
      <c r="F208" s="5" t="s">
        <v>533</v>
      </c>
      <c r="G208" s="5">
        <v>7872896636</v>
      </c>
      <c r="H208" s="5" t="s">
        <v>534</v>
      </c>
      <c r="I208" s="5" t="s">
        <v>247</v>
      </c>
      <c r="J208" s="5" t="s">
        <v>80</v>
      </c>
      <c r="K208" s="5" t="s">
        <v>271</v>
      </c>
      <c r="L208" s="6">
        <v>39320</v>
      </c>
    </row>
    <row r="209" spans="1:12" x14ac:dyDescent="0.25">
      <c r="A209" s="5">
        <v>208</v>
      </c>
      <c r="B209" s="5" t="s">
        <v>151</v>
      </c>
      <c r="C209" s="5" t="s">
        <v>83</v>
      </c>
      <c r="D209" s="5" t="s">
        <v>31</v>
      </c>
      <c r="E209" s="5" t="s">
        <v>467</v>
      </c>
      <c r="F209" s="5" t="s">
        <v>535</v>
      </c>
      <c r="G209" s="5">
        <v>8125619078</v>
      </c>
      <c r="H209" s="5" t="s">
        <v>536</v>
      </c>
      <c r="I209" s="5" t="s">
        <v>247</v>
      </c>
      <c r="J209" s="5" t="s">
        <v>80</v>
      </c>
      <c r="K209" s="5" t="s">
        <v>400</v>
      </c>
      <c r="L209" s="6">
        <v>39308</v>
      </c>
    </row>
    <row r="210" spans="1:12" x14ac:dyDescent="0.25">
      <c r="A210" s="5">
        <v>209</v>
      </c>
      <c r="B210" s="5" t="s">
        <v>537</v>
      </c>
      <c r="C210" s="5" t="s">
        <v>83</v>
      </c>
      <c r="D210" s="5" t="s">
        <v>31</v>
      </c>
      <c r="E210" s="5" t="s">
        <v>106</v>
      </c>
      <c r="F210" s="5" t="s">
        <v>538</v>
      </c>
      <c r="G210" s="5">
        <v>8267648783</v>
      </c>
      <c r="H210" s="5" t="s">
        <v>539</v>
      </c>
      <c r="I210" s="5" t="s">
        <v>247</v>
      </c>
      <c r="J210" s="5" t="s">
        <v>80</v>
      </c>
      <c r="K210" s="5" t="s">
        <v>105</v>
      </c>
      <c r="L210" s="6">
        <v>39124</v>
      </c>
    </row>
    <row r="211" spans="1:12" x14ac:dyDescent="0.25">
      <c r="A211" s="5">
        <v>210</v>
      </c>
      <c r="B211" s="5" t="s">
        <v>540</v>
      </c>
      <c r="C211" s="5" t="s">
        <v>83</v>
      </c>
      <c r="D211" s="5" t="s">
        <v>31</v>
      </c>
      <c r="E211" s="5" t="s">
        <v>331</v>
      </c>
      <c r="F211" s="5" t="s">
        <v>541</v>
      </c>
      <c r="G211" s="5">
        <v>8314994248</v>
      </c>
      <c r="H211" s="5" t="s">
        <v>478</v>
      </c>
      <c r="I211" s="5" t="s">
        <v>247</v>
      </c>
      <c r="J211" s="5" t="s">
        <v>80</v>
      </c>
      <c r="K211" s="5" t="s">
        <v>271</v>
      </c>
      <c r="L211" s="6">
        <v>39130</v>
      </c>
    </row>
    <row r="212" spans="1:12" x14ac:dyDescent="0.25">
      <c r="A212" s="5">
        <v>211</v>
      </c>
      <c r="B212" s="5" t="s">
        <v>360</v>
      </c>
      <c r="C212" s="5" t="s">
        <v>75</v>
      </c>
      <c r="D212" s="5" t="s">
        <v>31</v>
      </c>
      <c r="E212" s="5" t="s">
        <v>268</v>
      </c>
      <c r="F212" s="5" t="s">
        <v>447</v>
      </c>
      <c r="G212" s="5">
        <v>6274666906</v>
      </c>
      <c r="H212" s="5" t="s">
        <v>448</v>
      </c>
      <c r="I212" s="5" t="s">
        <v>247</v>
      </c>
      <c r="J212" s="5" t="s">
        <v>112</v>
      </c>
      <c r="K212" s="5" t="s">
        <v>271</v>
      </c>
      <c r="L212" s="6">
        <v>39424</v>
      </c>
    </row>
    <row r="213" spans="1:12" x14ac:dyDescent="0.25">
      <c r="A213" s="5">
        <v>212</v>
      </c>
      <c r="B213" s="5" t="s">
        <v>406</v>
      </c>
      <c r="C213" s="5" t="s">
        <v>83</v>
      </c>
      <c r="D213" s="5" t="s">
        <v>31</v>
      </c>
      <c r="E213" s="5" t="s">
        <v>268</v>
      </c>
      <c r="F213" s="5" t="s">
        <v>407</v>
      </c>
      <c r="G213" s="5">
        <v>9465049427</v>
      </c>
      <c r="H213" s="5" t="s">
        <v>542</v>
      </c>
      <c r="I213" s="5" t="s">
        <v>247</v>
      </c>
      <c r="J213" s="5" t="s">
        <v>129</v>
      </c>
      <c r="K213" s="5" t="s">
        <v>271</v>
      </c>
      <c r="L213" s="6">
        <v>39173</v>
      </c>
    </row>
    <row r="214" spans="1:12" x14ac:dyDescent="0.25">
      <c r="A214" s="5">
        <v>213</v>
      </c>
      <c r="B214" s="5" t="s">
        <v>384</v>
      </c>
      <c r="C214" s="5" t="s">
        <v>83</v>
      </c>
      <c r="D214" s="5" t="s">
        <v>31</v>
      </c>
      <c r="E214" s="5" t="s">
        <v>467</v>
      </c>
      <c r="F214" s="5" t="s">
        <v>484</v>
      </c>
      <c r="G214" s="5">
        <v>6115030607</v>
      </c>
      <c r="H214" s="5" t="s">
        <v>543</v>
      </c>
      <c r="I214" s="5" t="s">
        <v>247</v>
      </c>
      <c r="J214" s="5" t="s">
        <v>80</v>
      </c>
      <c r="K214" s="5" t="s">
        <v>400</v>
      </c>
      <c r="L214" s="6">
        <v>39423</v>
      </c>
    </row>
    <row r="215" spans="1:12" x14ac:dyDescent="0.25">
      <c r="A215" s="5">
        <v>214</v>
      </c>
      <c r="B215" s="5" t="s">
        <v>544</v>
      </c>
      <c r="C215" s="5" t="s">
        <v>83</v>
      </c>
      <c r="D215" s="5" t="s">
        <v>31</v>
      </c>
      <c r="E215" s="5" t="s">
        <v>106</v>
      </c>
      <c r="F215" s="5" t="s">
        <v>545</v>
      </c>
      <c r="G215" s="5">
        <v>6941208683</v>
      </c>
      <c r="H215" s="5" t="s">
        <v>546</v>
      </c>
      <c r="I215" s="5" t="s">
        <v>247</v>
      </c>
      <c r="J215" s="5" t="s">
        <v>80</v>
      </c>
      <c r="K215" s="5" t="s">
        <v>105</v>
      </c>
      <c r="L215" s="6">
        <v>39407</v>
      </c>
    </row>
    <row r="216" spans="1:12" x14ac:dyDescent="0.25">
      <c r="A216" s="5">
        <v>215</v>
      </c>
      <c r="B216" s="5" t="s">
        <v>86</v>
      </c>
      <c r="C216" s="5" t="s">
        <v>83</v>
      </c>
      <c r="D216" s="5" t="s">
        <v>31</v>
      </c>
      <c r="E216" s="5" t="s">
        <v>397</v>
      </c>
      <c r="F216" s="5" t="s">
        <v>547</v>
      </c>
      <c r="G216" s="5">
        <v>6489294411</v>
      </c>
      <c r="H216" s="5" t="s">
        <v>548</v>
      </c>
      <c r="I216" s="5" t="s">
        <v>247</v>
      </c>
      <c r="J216" s="5" t="s">
        <v>80</v>
      </c>
      <c r="K216" s="5" t="s">
        <v>400</v>
      </c>
      <c r="L216" s="6">
        <v>39225</v>
      </c>
    </row>
    <row r="217" spans="1:12" x14ac:dyDescent="0.25">
      <c r="A217" s="5">
        <v>216</v>
      </c>
      <c r="B217" s="5" t="s">
        <v>141</v>
      </c>
      <c r="C217" s="5" t="s">
        <v>75</v>
      </c>
      <c r="D217" s="5" t="s">
        <v>31</v>
      </c>
      <c r="E217" s="5" t="s">
        <v>403</v>
      </c>
      <c r="F217" s="5" t="s">
        <v>497</v>
      </c>
      <c r="G217" s="5">
        <v>6167734061</v>
      </c>
      <c r="H217" s="5" t="s">
        <v>549</v>
      </c>
      <c r="I217" s="5" t="s">
        <v>247</v>
      </c>
      <c r="J217" s="5" t="s">
        <v>112</v>
      </c>
      <c r="K217" s="5" t="s">
        <v>400</v>
      </c>
      <c r="L217" s="6">
        <v>39126</v>
      </c>
    </row>
    <row r="218" spans="1:12" x14ac:dyDescent="0.25">
      <c r="A218" s="5">
        <v>217</v>
      </c>
      <c r="B218" s="5" t="s">
        <v>550</v>
      </c>
      <c r="C218" s="5" t="s">
        <v>75</v>
      </c>
      <c r="D218" s="5" t="s">
        <v>31</v>
      </c>
      <c r="E218" s="5" t="s">
        <v>285</v>
      </c>
      <c r="F218" s="5" t="s">
        <v>551</v>
      </c>
      <c r="G218" s="5">
        <v>7031221891</v>
      </c>
      <c r="H218" s="5" t="s">
        <v>552</v>
      </c>
      <c r="I218" s="5" t="s">
        <v>247</v>
      </c>
      <c r="J218" s="5" t="s">
        <v>159</v>
      </c>
      <c r="K218" s="5" t="s">
        <v>288</v>
      </c>
      <c r="L218" s="6">
        <v>39239</v>
      </c>
    </row>
    <row r="219" spans="1:12" x14ac:dyDescent="0.25">
      <c r="A219" s="5">
        <v>218</v>
      </c>
      <c r="B219" s="5" t="s">
        <v>265</v>
      </c>
      <c r="C219" s="5" t="s">
        <v>75</v>
      </c>
      <c r="D219" s="5" t="s">
        <v>31</v>
      </c>
      <c r="E219" s="5" t="s">
        <v>308</v>
      </c>
      <c r="F219" s="5" t="s">
        <v>553</v>
      </c>
      <c r="G219" s="5">
        <v>9701139509</v>
      </c>
      <c r="H219" s="5" t="s">
        <v>554</v>
      </c>
      <c r="I219" s="5" t="s">
        <v>247</v>
      </c>
      <c r="J219" s="5" t="s">
        <v>80</v>
      </c>
      <c r="K219" s="5" t="s">
        <v>288</v>
      </c>
      <c r="L219" s="6">
        <v>39275</v>
      </c>
    </row>
    <row r="220" spans="1:12" x14ac:dyDescent="0.25">
      <c r="A220" s="5">
        <v>219</v>
      </c>
      <c r="B220" s="5" t="s">
        <v>442</v>
      </c>
      <c r="C220" s="5" t="s">
        <v>83</v>
      </c>
      <c r="D220" s="5" t="s">
        <v>31</v>
      </c>
      <c r="E220" s="5" t="s">
        <v>397</v>
      </c>
      <c r="F220" s="5" t="s">
        <v>443</v>
      </c>
      <c r="G220" s="5">
        <v>8022323272</v>
      </c>
      <c r="H220" s="5" t="s">
        <v>555</v>
      </c>
      <c r="I220" s="5" t="s">
        <v>247</v>
      </c>
      <c r="J220" s="5" t="s">
        <v>112</v>
      </c>
      <c r="K220" s="5" t="s">
        <v>400</v>
      </c>
      <c r="L220" s="6">
        <v>39300</v>
      </c>
    </row>
    <row r="221" spans="1:12" x14ac:dyDescent="0.25">
      <c r="A221" s="5">
        <v>220</v>
      </c>
      <c r="B221" s="5" t="s">
        <v>155</v>
      </c>
      <c r="C221" s="5" t="s">
        <v>83</v>
      </c>
      <c r="D221" s="5" t="s">
        <v>31</v>
      </c>
      <c r="E221" s="5" t="s">
        <v>397</v>
      </c>
      <c r="F221" s="5" t="s">
        <v>556</v>
      </c>
      <c r="G221" s="5">
        <v>6040930810</v>
      </c>
      <c r="H221" s="5" t="s">
        <v>557</v>
      </c>
      <c r="I221" s="5" t="s">
        <v>247</v>
      </c>
      <c r="J221" s="5" t="s">
        <v>80</v>
      </c>
      <c r="K221" s="5" t="s">
        <v>400</v>
      </c>
      <c r="L221" s="6">
        <v>39407</v>
      </c>
    </row>
    <row r="222" spans="1:12" x14ac:dyDescent="0.25">
      <c r="A222" s="5">
        <v>221</v>
      </c>
      <c r="B222" s="5" t="s">
        <v>125</v>
      </c>
      <c r="C222" s="5" t="s">
        <v>83</v>
      </c>
      <c r="D222" s="5" t="s">
        <v>31</v>
      </c>
      <c r="E222" s="5" t="s">
        <v>102</v>
      </c>
      <c r="F222" s="5" t="s">
        <v>558</v>
      </c>
      <c r="G222" s="5">
        <v>8893348160</v>
      </c>
      <c r="H222" s="5" t="s">
        <v>559</v>
      </c>
      <c r="I222" s="5" t="s">
        <v>247</v>
      </c>
      <c r="J222" s="5" t="s">
        <v>80</v>
      </c>
      <c r="K222" s="5" t="s">
        <v>105</v>
      </c>
      <c r="L222" s="6">
        <v>39226</v>
      </c>
    </row>
    <row r="223" spans="1:12" x14ac:dyDescent="0.25">
      <c r="A223" s="5">
        <v>222</v>
      </c>
      <c r="B223" s="5" t="s">
        <v>317</v>
      </c>
      <c r="C223" s="5" t="s">
        <v>83</v>
      </c>
      <c r="D223" s="5" t="s">
        <v>31</v>
      </c>
      <c r="E223" s="5" t="s">
        <v>467</v>
      </c>
      <c r="F223" s="5" t="s">
        <v>445</v>
      </c>
      <c r="G223" s="5">
        <v>9306763810</v>
      </c>
      <c r="H223" s="5" t="s">
        <v>560</v>
      </c>
      <c r="I223" s="5" t="s">
        <v>247</v>
      </c>
      <c r="J223" s="5" t="s">
        <v>80</v>
      </c>
      <c r="K223" s="5" t="s">
        <v>400</v>
      </c>
      <c r="L223" s="6">
        <v>39367</v>
      </c>
    </row>
    <row r="224" spans="1:12" x14ac:dyDescent="0.25">
      <c r="A224" s="5">
        <v>223</v>
      </c>
      <c r="B224" s="5" t="s">
        <v>242</v>
      </c>
      <c r="C224" s="5" t="s">
        <v>75</v>
      </c>
      <c r="D224" s="5" t="s">
        <v>31</v>
      </c>
      <c r="E224" s="5" t="s">
        <v>397</v>
      </c>
      <c r="F224" s="5" t="s">
        <v>561</v>
      </c>
      <c r="G224" s="5">
        <v>8429390591</v>
      </c>
      <c r="H224" s="5" t="s">
        <v>562</v>
      </c>
      <c r="I224" s="5" t="s">
        <v>247</v>
      </c>
      <c r="J224" s="5" t="s">
        <v>80</v>
      </c>
      <c r="K224" s="5" t="s">
        <v>400</v>
      </c>
      <c r="L224" s="6">
        <v>39428</v>
      </c>
    </row>
    <row r="225" spans="1:12" x14ac:dyDescent="0.25">
      <c r="A225" s="5">
        <v>224</v>
      </c>
      <c r="B225" s="5" t="s">
        <v>377</v>
      </c>
      <c r="C225" s="5" t="s">
        <v>75</v>
      </c>
      <c r="D225" s="5" t="s">
        <v>59</v>
      </c>
      <c r="E225" s="5" t="s">
        <v>277</v>
      </c>
      <c r="F225" s="5" t="s">
        <v>563</v>
      </c>
      <c r="G225" s="5">
        <v>9727281367</v>
      </c>
      <c r="H225" s="5" t="s">
        <v>564</v>
      </c>
      <c r="I225" s="5" t="s">
        <v>79</v>
      </c>
      <c r="J225" s="5" t="s">
        <v>129</v>
      </c>
      <c r="K225" s="5" t="s">
        <v>271</v>
      </c>
      <c r="L225" s="6">
        <v>38001</v>
      </c>
    </row>
    <row r="226" spans="1:12" x14ac:dyDescent="0.25">
      <c r="A226" s="5">
        <v>225</v>
      </c>
      <c r="B226" s="5" t="s">
        <v>393</v>
      </c>
      <c r="C226" s="5" t="s">
        <v>83</v>
      </c>
      <c r="D226" s="5" t="s">
        <v>59</v>
      </c>
      <c r="E226" s="5" t="s">
        <v>224</v>
      </c>
      <c r="F226" s="5" t="s">
        <v>565</v>
      </c>
      <c r="G226" s="5">
        <v>7984634292</v>
      </c>
      <c r="H226" s="5" t="s">
        <v>566</v>
      </c>
      <c r="I226" s="5" t="s">
        <v>79</v>
      </c>
      <c r="J226" s="5" t="s">
        <v>80</v>
      </c>
      <c r="K226" s="5" t="s">
        <v>105</v>
      </c>
      <c r="L226" s="6">
        <v>38050</v>
      </c>
    </row>
    <row r="227" spans="1:12" x14ac:dyDescent="0.25">
      <c r="A227" s="5">
        <v>226</v>
      </c>
      <c r="B227" s="5" t="s">
        <v>187</v>
      </c>
      <c r="C227" s="5" t="s">
        <v>75</v>
      </c>
      <c r="D227" s="5" t="s">
        <v>59</v>
      </c>
      <c r="E227" s="5" t="s">
        <v>131</v>
      </c>
      <c r="F227" s="5" t="s">
        <v>567</v>
      </c>
      <c r="G227" s="5">
        <v>7077340406</v>
      </c>
      <c r="H227" s="5" t="s">
        <v>568</v>
      </c>
      <c r="I227" s="5" t="s">
        <v>79</v>
      </c>
      <c r="J227" s="5" t="s">
        <v>80</v>
      </c>
      <c r="K227" s="5" t="s">
        <v>105</v>
      </c>
      <c r="L227" s="6">
        <v>38012</v>
      </c>
    </row>
    <row r="228" spans="1:12" x14ac:dyDescent="0.25">
      <c r="A228" s="5">
        <v>227</v>
      </c>
      <c r="B228" s="5" t="s">
        <v>450</v>
      </c>
      <c r="C228" s="5" t="s">
        <v>83</v>
      </c>
      <c r="D228" s="5" t="s">
        <v>59</v>
      </c>
      <c r="E228" s="5" t="s">
        <v>102</v>
      </c>
      <c r="F228" s="5" t="s">
        <v>569</v>
      </c>
      <c r="G228" s="5">
        <v>7995091178</v>
      </c>
      <c r="H228" s="5" t="s">
        <v>570</v>
      </c>
      <c r="I228" s="5" t="s">
        <v>79</v>
      </c>
      <c r="J228" s="5" t="s">
        <v>112</v>
      </c>
      <c r="K228" s="5" t="s">
        <v>105</v>
      </c>
      <c r="L228" s="6">
        <v>38122</v>
      </c>
    </row>
    <row r="229" spans="1:12" x14ac:dyDescent="0.25">
      <c r="A229" s="5">
        <v>228</v>
      </c>
      <c r="B229" s="5" t="s">
        <v>161</v>
      </c>
      <c r="C229" s="5" t="s">
        <v>75</v>
      </c>
      <c r="D229" s="5" t="s">
        <v>59</v>
      </c>
      <c r="E229" s="5" t="s">
        <v>314</v>
      </c>
      <c r="F229" s="5" t="s">
        <v>571</v>
      </c>
      <c r="G229" s="5">
        <v>9998239784</v>
      </c>
      <c r="H229" s="5" t="s">
        <v>572</v>
      </c>
      <c r="I229" s="5" t="s">
        <v>79</v>
      </c>
      <c r="J229" s="5" t="s">
        <v>80</v>
      </c>
      <c r="K229" s="5" t="s">
        <v>275</v>
      </c>
      <c r="L229" s="6">
        <v>38331</v>
      </c>
    </row>
    <row r="230" spans="1:12" x14ac:dyDescent="0.25">
      <c r="A230" s="5">
        <v>229</v>
      </c>
      <c r="B230" s="5" t="s">
        <v>387</v>
      </c>
      <c r="C230" s="5" t="s">
        <v>83</v>
      </c>
      <c r="D230" s="5" t="s">
        <v>59</v>
      </c>
      <c r="E230" s="5" t="s">
        <v>292</v>
      </c>
      <c r="F230" s="5" t="s">
        <v>573</v>
      </c>
      <c r="G230" s="5">
        <v>9889922647</v>
      </c>
      <c r="H230" s="5" t="s">
        <v>574</v>
      </c>
      <c r="I230" s="5" t="s">
        <v>79</v>
      </c>
      <c r="J230" s="5" t="s">
        <v>129</v>
      </c>
      <c r="K230" s="5" t="s">
        <v>288</v>
      </c>
      <c r="L230" s="6">
        <v>38013</v>
      </c>
    </row>
    <row r="231" spans="1:12" x14ac:dyDescent="0.25">
      <c r="A231" s="5">
        <v>230</v>
      </c>
      <c r="B231" s="5" t="s">
        <v>575</v>
      </c>
      <c r="C231" s="5" t="s">
        <v>75</v>
      </c>
      <c r="D231" s="5" t="s">
        <v>59</v>
      </c>
      <c r="E231" s="5" t="s">
        <v>272</v>
      </c>
      <c r="F231" s="5" t="s">
        <v>576</v>
      </c>
      <c r="G231" s="5">
        <v>7739151177</v>
      </c>
      <c r="H231" s="5" t="s">
        <v>577</v>
      </c>
      <c r="I231" s="5" t="s">
        <v>79</v>
      </c>
      <c r="J231" s="5" t="s">
        <v>80</v>
      </c>
      <c r="K231" s="5" t="s">
        <v>275</v>
      </c>
      <c r="L231" s="6">
        <v>38207</v>
      </c>
    </row>
    <row r="232" spans="1:12" x14ac:dyDescent="0.25">
      <c r="A232" s="5">
        <v>231</v>
      </c>
      <c r="B232" s="5" t="s">
        <v>259</v>
      </c>
      <c r="C232" s="5" t="s">
        <v>83</v>
      </c>
      <c r="D232" s="5" t="s">
        <v>59</v>
      </c>
      <c r="E232" s="5" t="s">
        <v>272</v>
      </c>
      <c r="F232" s="5" t="s">
        <v>578</v>
      </c>
      <c r="G232" s="5">
        <v>9462544276</v>
      </c>
      <c r="H232" s="5" t="s">
        <v>579</v>
      </c>
      <c r="I232" s="5" t="s">
        <v>79</v>
      </c>
      <c r="J232" s="5" t="s">
        <v>80</v>
      </c>
      <c r="K232" s="5" t="s">
        <v>275</v>
      </c>
      <c r="L232" s="6">
        <v>38101</v>
      </c>
    </row>
    <row r="233" spans="1:12" x14ac:dyDescent="0.25">
      <c r="A233" s="5">
        <v>232</v>
      </c>
      <c r="B233" s="5" t="s">
        <v>86</v>
      </c>
      <c r="C233" s="5" t="s">
        <v>83</v>
      </c>
      <c r="D233" s="5" t="s">
        <v>59</v>
      </c>
      <c r="E233" s="5" t="s">
        <v>289</v>
      </c>
      <c r="F233" s="5" t="s">
        <v>580</v>
      </c>
      <c r="G233" s="5">
        <v>9417438225</v>
      </c>
      <c r="H233" s="5" t="s">
        <v>581</v>
      </c>
      <c r="I233" s="5" t="s">
        <v>79</v>
      </c>
      <c r="J233" s="5" t="s">
        <v>80</v>
      </c>
      <c r="K233" s="5" t="s">
        <v>271</v>
      </c>
      <c r="L233" s="6">
        <v>38023</v>
      </c>
    </row>
    <row r="234" spans="1:12" x14ac:dyDescent="0.25">
      <c r="A234" s="5">
        <v>233</v>
      </c>
      <c r="B234" s="5" t="s">
        <v>183</v>
      </c>
      <c r="C234" s="5" t="s">
        <v>75</v>
      </c>
      <c r="D234" s="5" t="s">
        <v>59</v>
      </c>
      <c r="E234" s="5" t="s">
        <v>277</v>
      </c>
      <c r="F234" s="5" t="s">
        <v>582</v>
      </c>
      <c r="G234" s="5">
        <v>6804132109</v>
      </c>
      <c r="H234" s="5" t="s">
        <v>583</v>
      </c>
      <c r="I234" s="5" t="s">
        <v>79</v>
      </c>
      <c r="J234" s="5" t="s">
        <v>80</v>
      </c>
      <c r="K234" s="5" t="s">
        <v>271</v>
      </c>
      <c r="L234" s="6">
        <v>38264</v>
      </c>
    </row>
    <row r="235" spans="1:12" x14ac:dyDescent="0.25">
      <c r="A235" s="5">
        <v>234</v>
      </c>
      <c r="B235" s="5" t="s">
        <v>239</v>
      </c>
      <c r="C235" s="5" t="s">
        <v>75</v>
      </c>
      <c r="D235" s="5" t="s">
        <v>59</v>
      </c>
      <c r="E235" s="5" t="s">
        <v>289</v>
      </c>
      <c r="F235" s="5" t="s">
        <v>584</v>
      </c>
      <c r="G235" s="5">
        <v>9625557330</v>
      </c>
      <c r="H235" s="5" t="s">
        <v>585</v>
      </c>
      <c r="I235" s="5" t="s">
        <v>79</v>
      </c>
      <c r="J235" s="5" t="s">
        <v>112</v>
      </c>
      <c r="K235" s="5" t="s">
        <v>271</v>
      </c>
      <c r="L235" s="6">
        <v>38154</v>
      </c>
    </row>
    <row r="236" spans="1:12" x14ac:dyDescent="0.25">
      <c r="A236" s="5">
        <v>235</v>
      </c>
      <c r="B236" s="5" t="s">
        <v>276</v>
      </c>
      <c r="C236" s="5" t="s">
        <v>83</v>
      </c>
      <c r="D236" s="5" t="s">
        <v>59</v>
      </c>
      <c r="E236" s="5" t="s">
        <v>131</v>
      </c>
      <c r="F236" s="5" t="s">
        <v>586</v>
      </c>
      <c r="G236" s="5">
        <v>7836585618</v>
      </c>
      <c r="H236" s="5" t="s">
        <v>587</v>
      </c>
      <c r="I236" s="5" t="s">
        <v>79</v>
      </c>
      <c r="J236" s="5" t="s">
        <v>112</v>
      </c>
      <c r="K236" s="5" t="s">
        <v>105</v>
      </c>
      <c r="L236" s="6">
        <v>38222</v>
      </c>
    </row>
    <row r="237" spans="1:12" x14ac:dyDescent="0.25">
      <c r="A237" s="5">
        <v>236</v>
      </c>
      <c r="B237" s="5" t="s">
        <v>98</v>
      </c>
      <c r="C237" s="5" t="s">
        <v>75</v>
      </c>
      <c r="D237" s="5" t="s">
        <v>59</v>
      </c>
      <c r="E237" s="5" t="s">
        <v>102</v>
      </c>
      <c r="F237" s="5" t="s">
        <v>588</v>
      </c>
      <c r="G237" s="5">
        <v>8072918323</v>
      </c>
      <c r="H237" s="5" t="s">
        <v>589</v>
      </c>
      <c r="I237" s="5" t="s">
        <v>158</v>
      </c>
      <c r="J237" s="5" t="s">
        <v>80</v>
      </c>
      <c r="K237" s="5" t="s">
        <v>105</v>
      </c>
      <c r="L237" s="6">
        <v>38372</v>
      </c>
    </row>
    <row r="238" spans="1:12" x14ac:dyDescent="0.25">
      <c r="A238" s="5">
        <v>237</v>
      </c>
      <c r="B238" s="5" t="s">
        <v>74</v>
      </c>
      <c r="C238" s="5" t="s">
        <v>75</v>
      </c>
      <c r="D238" s="5" t="s">
        <v>59</v>
      </c>
      <c r="E238" s="5" t="s">
        <v>306</v>
      </c>
      <c r="F238" s="5" t="s">
        <v>590</v>
      </c>
      <c r="G238" s="5">
        <v>8984769456</v>
      </c>
      <c r="H238" s="5" t="s">
        <v>591</v>
      </c>
      <c r="I238" s="5" t="s">
        <v>158</v>
      </c>
      <c r="J238" s="5" t="s">
        <v>112</v>
      </c>
      <c r="K238" s="5" t="s">
        <v>275</v>
      </c>
      <c r="L238" s="6">
        <v>38637</v>
      </c>
    </row>
    <row r="239" spans="1:12" x14ac:dyDescent="0.25">
      <c r="A239" s="5">
        <v>238</v>
      </c>
      <c r="B239" s="5" t="s">
        <v>350</v>
      </c>
      <c r="C239" s="5" t="s">
        <v>83</v>
      </c>
      <c r="D239" s="5" t="s">
        <v>59</v>
      </c>
      <c r="E239" s="5" t="s">
        <v>314</v>
      </c>
      <c r="F239" s="5" t="s">
        <v>592</v>
      </c>
      <c r="G239" s="5">
        <v>7903286997</v>
      </c>
      <c r="H239" s="5" t="s">
        <v>593</v>
      </c>
      <c r="I239" s="5" t="s">
        <v>158</v>
      </c>
      <c r="J239" s="5" t="s">
        <v>129</v>
      </c>
      <c r="K239" s="5" t="s">
        <v>275</v>
      </c>
      <c r="L239" s="6">
        <v>38610</v>
      </c>
    </row>
    <row r="240" spans="1:12" x14ac:dyDescent="0.25">
      <c r="A240" s="5">
        <v>239</v>
      </c>
      <c r="B240" s="5" t="s">
        <v>357</v>
      </c>
      <c r="C240" s="5" t="s">
        <v>83</v>
      </c>
      <c r="D240" s="5" t="s">
        <v>59</v>
      </c>
      <c r="E240" s="5" t="s">
        <v>314</v>
      </c>
      <c r="F240" s="5" t="s">
        <v>594</v>
      </c>
      <c r="G240" s="5">
        <v>7218854971</v>
      </c>
      <c r="H240" s="5" t="s">
        <v>595</v>
      </c>
      <c r="I240" s="5" t="s">
        <v>158</v>
      </c>
      <c r="J240" s="5" t="s">
        <v>80</v>
      </c>
      <c r="K240" s="5" t="s">
        <v>275</v>
      </c>
      <c r="L240" s="6">
        <v>38567</v>
      </c>
    </row>
    <row r="241" spans="1:12" x14ac:dyDescent="0.25">
      <c r="A241" s="5">
        <v>240</v>
      </c>
      <c r="B241" s="5" t="s">
        <v>373</v>
      </c>
      <c r="C241" s="5" t="s">
        <v>75</v>
      </c>
      <c r="D241" s="5" t="s">
        <v>59</v>
      </c>
      <c r="E241" s="5" t="s">
        <v>272</v>
      </c>
      <c r="F241" s="5" t="s">
        <v>596</v>
      </c>
      <c r="G241" s="5">
        <v>7716685865</v>
      </c>
      <c r="H241" s="5" t="s">
        <v>597</v>
      </c>
      <c r="I241" s="5" t="s">
        <v>158</v>
      </c>
      <c r="J241" s="5" t="s">
        <v>129</v>
      </c>
      <c r="K241" s="5" t="s">
        <v>275</v>
      </c>
      <c r="L241" s="6">
        <v>38513</v>
      </c>
    </row>
    <row r="242" spans="1:12" x14ac:dyDescent="0.25">
      <c r="A242" s="5">
        <v>241</v>
      </c>
      <c r="B242" s="5" t="s">
        <v>82</v>
      </c>
      <c r="C242" s="5" t="s">
        <v>83</v>
      </c>
      <c r="D242" s="5" t="s">
        <v>59</v>
      </c>
      <c r="E242" s="5" t="s">
        <v>351</v>
      </c>
      <c r="F242" s="5" t="s">
        <v>598</v>
      </c>
      <c r="G242" s="5">
        <v>9593760061</v>
      </c>
      <c r="H242" s="5" t="s">
        <v>599</v>
      </c>
      <c r="I242" s="5" t="s">
        <v>158</v>
      </c>
      <c r="J242" s="5" t="s">
        <v>80</v>
      </c>
      <c r="K242" s="5" t="s">
        <v>288</v>
      </c>
      <c r="L242" s="6">
        <v>38404</v>
      </c>
    </row>
    <row r="243" spans="1:12" x14ac:dyDescent="0.25">
      <c r="A243" s="5">
        <v>242</v>
      </c>
      <c r="B243" s="5" t="s">
        <v>600</v>
      </c>
      <c r="C243" s="5" t="s">
        <v>83</v>
      </c>
      <c r="D243" s="5" t="s">
        <v>59</v>
      </c>
      <c r="E243" s="5" t="s">
        <v>272</v>
      </c>
      <c r="F243" s="5" t="s">
        <v>601</v>
      </c>
      <c r="G243" s="5">
        <v>9703866151</v>
      </c>
      <c r="H243" s="5" t="s">
        <v>602</v>
      </c>
      <c r="I243" s="5" t="s">
        <v>158</v>
      </c>
      <c r="J243" s="5" t="s">
        <v>159</v>
      </c>
      <c r="K243" s="5" t="s">
        <v>275</v>
      </c>
      <c r="L243" s="6">
        <v>38690</v>
      </c>
    </row>
    <row r="244" spans="1:12" x14ac:dyDescent="0.25">
      <c r="A244" s="5">
        <v>243</v>
      </c>
      <c r="B244" s="5" t="s">
        <v>183</v>
      </c>
      <c r="C244" s="5" t="s">
        <v>83</v>
      </c>
      <c r="D244" s="5" t="s">
        <v>59</v>
      </c>
      <c r="E244" s="5" t="s">
        <v>268</v>
      </c>
      <c r="F244" s="5" t="s">
        <v>582</v>
      </c>
      <c r="G244" s="5">
        <v>7348144935</v>
      </c>
      <c r="H244" s="5" t="s">
        <v>603</v>
      </c>
      <c r="I244" s="5" t="s">
        <v>158</v>
      </c>
      <c r="J244" s="5" t="s">
        <v>80</v>
      </c>
      <c r="K244" s="5" t="s">
        <v>271</v>
      </c>
      <c r="L244" s="6">
        <v>38616</v>
      </c>
    </row>
    <row r="245" spans="1:12" x14ac:dyDescent="0.25">
      <c r="A245" s="5">
        <v>244</v>
      </c>
      <c r="B245" s="5" t="s">
        <v>183</v>
      </c>
      <c r="C245" s="5" t="s">
        <v>75</v>
      </c>
      <c r="D245" s="5" t="s">
        <v>59</v>
      </c>
      <c r="E245" s="5" t="s">
        <v>131</v>
      </c>
      <c r="F245" s="5" t="s">
        <v>582</v>
      </c>
      <c r="G245" s="5">
        <v>8610132612</v>
      </c>
      <c r="H245" s="5" t="s">
        <v>604</v>
      </c>
      <c r="I245" s="5" t="s">
        <v>158</v>
      </c>
      <c r="J245" s="5" t="s">
        <v>80</v>
      </c>
      <c r="K245" s="5" t="s">
        <v>105</v>
      </c>
      <c r="L245" s="6">
        <v>38475</v>
      </c>
    </row>
    <row r="246" spans="1:12" x14ac:dyDescent="0.25">
      <c r="A246" s="5">
        <v>245</v>
      </c>
      <c r="B246" s="5" t="s">
        <v>138</v>
      </c>
      <c r="C246" s="5" t="s">
        <v>75</v>
      </c>
      <c r="D246" s="5" t="s">
        <v>59</v>
      </c>
      <c r="E246" s="5" t="s">
        <v>272</v>
      </c>
      <c r="F246" s="5" t="s">
        <v>605</v>
      </c>
      <c r="G246" s="5">
        <v>8329338106</v>
      </c>
      <c r="H246" s="5" t="s">
        <v>606</v>
      </c>
      <c r="I246" s="5" t="s">
        <v>158</v>
      </c>
      <c r="J246" s="5" t="s">
        <v>80</v>
      </c>
      <c r="K246" s="5" t="s">
        <v>275</v>
      </c>
      <c r="L246" s="6">
        <v>38688</v>
      </c>
    </row>
    <row r="247" spans="1:12" x14ac:dyDescent="0.25">
      <c r="A247" s="5">
        <v>246</v>
      </c>
      <c r="B247" s="5" t="s">
        <v>297</v>
      </c>
      <c r="C247" s="5" t="s">
        <v>83</v>
      </c>
      <c r="D247" s="5" t="s">
        <v>59</v>
      </c>
      <c r="E247" s="5" t="s">
        <v>314</v>
      </c>
      <c r="F247" s="5" t="s">
        <v>607</v>
      </c>
      <c r="G247" s="5">
        <v>7371147584</v>
      </c>
      <c r="H247" s="5" t="s">
        <v>608</v>
      </c>
      <c r="I247" s="5" t="s">
        <v>158</v>
      </c>
      <c r="J247" s="5" t="s">
        <v>80</v>
      </c>
      <c r="K247" s="5" t="s">
        <v>275</v>
      </c>
      <c r="L247" s="6">
        <v>38500</v>
      </c>
    </row>
    <row r="248" spans="1:12" x14ac:dyDescent="0.25">
      <c r="A248" s="5">
        <v>247</v>
      </c>
      <c r="B248" s="5" t="s">
        <v>161</v>
      </c>
      <c r="C248" s="5" t="s">
        <v>83</v>
      </c>
      <c r="D248" s="5" t="s">
        <v>59</v>
      </c>
      <c r="E248" s="5" t="s">
        <v>277</v>
      </c>
      <c r="F248" s="5" t="s">
        <v>571</v>
      </c>
      <c r="G248" s="5">
        <v>8555384359</v>
      </c>
      <c r="H248" s="5" t="s">
        <v>609</v>
      </c>
      <c r="I248" s="5" t="s">
        <v>158</v>
      </c>
      <c r="J248" s="5" t="s">
        <v>129</v>
      </c>
      <c r="K248" s="5" t="s">
        <v>271</v>
      </c>
      <c r="L248" s="6">
        <v>38606</v>
      </c>
    </row>
    <row r="249" spans="1:12" x14ac:dyDescent="0.25">
      <c r="A249" s="5">
        <v>248</v>
      </c>
      <c r="B249" s="5" t="s">
        <v>113</v>
      </c>
      <c r="C249" s="5" t="s">
        <v>75</v>
      </c>
      <c r="D249" s="5" t="s">
        <v>59</v>
      </c>
      <c r="E249" s="5" t="s">
        <v>102</v>
      </c>
      <c r="F249" s="5" t="s">
        <v>610</v>
      </c>
      <c r="G249" s="5">
        <v>8626448424</v>
      </c>
      <c r="H249" s="5" t="s">
        <v>611</v>
      </c>
      <c r="I249" s="5" t="s">
        <v>158</v>
      </c>
      <c r="J249" s="5" t="s">
        <v>129</v>
      </c>
      <c r="K249" s="5" t="s">
        <v>105</v>
      </c>
      <c r="L249" s="6">
        <v>38601</v>
      </c>
    </row>
    <row r="250" spans="1:12" x14ac:dyDescent="0.25">
      <c r="A250" s="5">
        <v>249</v>
      </c>
      <c r="B250" s="5" t="s">
        <v>612</v>
      </c>
      <c r="C250" s="5" t="s">
        <v>83</v>
      </c>
      <c r="D250" s="5" t="s">
        <v>59</v>
      </c>
      <c r="E250" s="5" t="s">
        <v>308</v>
      </c>
      <c r="F250" s="5" t="s">
        <v>613</v>
      </c>
      <c r="G250" s="5">
        <v>8594024126</v>
      </c>
      <c r="H250" s="5" t="s">
        <v>614</v>
      </c>
      <c r="I250" s="5" t="s">
        <v>158</v>
      </c>
      <c r="J250" s="5" t="s">
        <v>129</v>
      </c>
      <c r="K250" s="5" t="s">
        <v>288</v>
      </c>
      <c r="L250" s="6">
        <v>38508</v>
      </c>
    </row>
    <row r="251" spans="1:12" x14ac:dyDescent="0.25">
      <c r="A251" s="5">
        <v>250</v>
      </c>
      <c r="B251" s="5" t="s">
        <v>74</v>
      </c>
      <c r="C251" s="5" t="s">
        <v>83</v>
      </c>
      <c r="D251" s="5" t="s">
        <v>59</v>
      </c>
      <c r="E251" s="5" t="s">
        <v>308</v>
      </c>
      <c r="F251" s="5" t="s">
        <v>590</v>
      </c>
      <c r="G251" s="5">
        <v>7698708422</v>
      </c>
      <c r="H251" s="5" t="s">
        <v>572</v>
      </c>
      <c r="I251" s="5" t="s">
        <v>206</v>
      </c>
      <c r="J251" s="5" t="s">
        <v>80</v>
      </c>
      <c r="K251" s="5" t="s">
        <v>288</v>
      </c>
      <c r="L251" s="6">
        <v>39069</v>
      </c>
    </row>
    <row r="252" spans="1:12" x14ac:dyDescent="0.25">
      <c r="A252" s="5">
        <v>251</v>
      </c>
      <c r="B252" s="5" t="s">
        <v>122</v>
      </c>
      <c r="C252" s="5" t="s">
        <v>83</v>
      </c>
      <c r="D252" s="5" t="s">
        <v>59</v>
      </c>
      <c r="E252" s="5" t="s">
        <v>292</v>
      </c>
      <c r="F252" s="5" t="s">
        <v>615</v>
      </c>
      <c r="G252" s="5">
        <v>7725490253</v>
      </c>
      <c r="H252" s="5" t="s">
        <v>616</v>
      </c>
      <c r="I252" s="5" t="s">
        <v>206</v>
      </c>
      <c r="J252" s="5" t="s">
        <v>80</v>
      </c>
      <c r="K252" s="5" t="s">
        <v>288</v>
      </c>
      <c r="L252" s="6">
        <v>38772</v>
      </c>
    </row>
    <row r="253" spans="1:12" x14ac:dyDescent="0.25">
      <c r="A253" s="5">
        <v>252</v>
      </c>
      <c r="B253" s="5" t="s">
        <v>442</v>
      </c>
      <c r="C253" s="5" t="s">
        <v>75</v>
      </c>
      <c r="D253" s="5" t="s">
        <v>59</v>
      </c>
      <c r="E253" s="5" t="s">
        <v>277</v>
      </c>
      <c r="F253" s="5" t="s">
        <v>617</v>
      </c>
      <c r="G253" s="5">
        <v>9339514982</v>
      </c>
      <c r="H253" s="5" t="s">
        <v>564</v>
      </c>
      <c r="I253" s="5" t="s">
        <v>206</v>
      </c>
      <c r="J253" s="5" t="s">
        <v>80</v>
      </c>
      <c r="K253" s="5" t="s">
        <v>271</v>
      </c>
      <c r="L253" s="6">
        <v>38883</v>
      </c>
    </row>
    <row r="254" spans="1:12" x14ac:dyDescent="0.25">
      <c r="A254" s="5">
        <v>253</v>
      </c>
      <c r="B254" s="5" t="s">
        <v>218</v>
      </c>
      <c r="C254" s="5" t="s">
        <v>83</v>
      </c>
      <c r="D254" s="5" t="s">
        <v>59</v>
      </c>
      <c r="E254" s="5" t="s">
        <v>224</v>
      </c>
      <c r="F254" s="5" t="s">
        <v>618</v>
      </c>
      <c r="G254" s="5">
        <v>6142797166</v>
      </c>
      <c r="H254" s="5" t="s">
        <v>619</v>
      </c>
      <c r="I254" s="5" t="s">
        <v>206</v>
      </c>
      <c r="J254" s="5" t="s">
        <v>80</v>
      </c>
      <c r="K254" s="5" t="s">
        <v>105</v>
      </c>
      <c r="L254" s="6">
        <v>39027</v>
      </c>
    </row>
    <row r="255" spans="1:12" x14ac:dyDescent="0.25">
      <c r="A255" s="5">
        <v>254</v>
      </c>
      <c r="B255" s="5" t="s">
        <v>239</v>
      </c>
      <c r="C255" s="5" t="s">
        <v>83</v>
      </c>
      <c r="D255" s="5" t="s">
        <v>59</v>
      </c>
      <c r="E255" s="5" t="s">
        <v>272</v>
      </c>
      <c r="F255" s="5" t="s">
        <v>584</v>
      </c>
      <c r="G255" s="5">
        <v>7087505823</v>
      </c>
      <c r="H255" s="5" t="s">
        <v>620</v>
      </c>
      <c r="I255" s="5" t="s">
        <v>206</v>
      </c>
      <c r="J255" s="5" t="s">
        <v>80</v>
      </c>
      <c r="K255" s="5" t="s">
        <v>275</v>
      </c>
      <c r="L255" s="6">
        <v>38947</v>
      </c>
    </row>
    <row r="256" spans="1:12" x14ac:dyDescent="0.25">
      <c r="A256" s="5">
        <v>255</v>
      </c>
      <c r="B256" s="5" t="s">
        <v>377</v>
      </c>
      <c r="C256" s="5" t="s">
        <v>83</v>
      </c>
      <c r="D256" s="5" t="s">
        <v>59</v>
      </c>
      <c r="E256" s="5" t="s">
        <v>272</v>
      </c>
      <c r="F256" s="5" t="s">
        <v>563</v>
      </c>
      <c r="G256" s="5">
        <v>9145998469</v>
      </c>
      <c r="H256" s="5" t="s">
        <v>621</v>
      </c>
      <c r="I256" s="5" t="s">
        <v>206</v>
      </c>
      <c r="J256" s="5" t="s">
        <v>80</v>
      </c>
      <c r="K256" s="5" t="s">
        <v>275</v>
      </c>
      <c r="L256" s="6">
        <v>38791</v>
      </c>
    </row>
    <row r="257" spans="1:12" x14ac:dyDescent="0.25">
      <c r="A257" s="5">
        <v>256</v>
      </c>
      <c r="B257" s="5" t="s">
        <v>134</v>
      </c>
      <c r="C257" s="5" t="s">
        <v>75</v>
      </c>
      <c r="D257" s="5" t="s">
        <v>59</v>
      </c>
      <c r="E257" s="5" t="s">
        <v>314</v>
      </c>
      <c r="F257" s="5" t="s">
        <v>622</v>
      </c>
      <c r="G257" s="5">
        <v>7612840316</v>
      </c>
      <c r="H257" s="5" t="s">
        <v>623</v>
      </c>
      <c r="I257" s="5" t="s">
        <v>206</v>
      </c>
      <c r="J257" s="5" t="s">
        <v>80</v>
      </c>
      <c r="K257" s="5" t="s">
        <v>275</v>
      </c>
      <c r="L257" s="6">
        <v>38844</v>
      </c>
    </row>
    <row r="258" spans="1:12" x14ac:dyDescent="0.25">
      <c r="A258" s="5">
        <v>257</v>
      </c>
      <c r="B258" s="5" t="s">
        <v>151</v>
      </c>
      <c r="C258" s="5" t="s">
        <v>83</v>
      </c>
      <c r="D258" s="5" t="s">
        <v>59</v>
      </c>
      <c r="E258" s="5" t="s">
        <v>277</v>
      </c>
      <c r="F258" s="5" t="s">
        <v>624</v>
      </c>
      <c r="G258" s="5">
        <v>7483935845</v>
      </c>
      <c r="H258" s="5" t="s">
        <v>625</v>
      </c>
      <c r="I258" s="5" t="s">
        <v>206</v>
      </c>
      <c r="J258" s="5" t="s">
        <v>80</v>
      </c>
      <c r="K258" s="5" t="s">
        <v>271</v>
      </c>
      <c r="L258" s="6">
        <v>38730</v>
      </c>
    </row>
    <row r="259" spans="1:12" x14ac:dyDescent="0.25">
      <c r="A259" s="5">
        <v>258</v>
      </c>
      <c r="B259" s="5" t="s">
        <v>575</v>
      </c>
      <c r="C259" s="5" t="s">
        <v>75</v>
      </c>
      <c r="D259" s="5" t="s">
        <v>59</v>
      </c>
      <c r="E259" s="5" t="s">
        <v>306</v>
      </c>
      <c r="F259" s="5" t="s">
        <v>576</v>
      </c>
      <c r="G259" s="5">
        <v>6114781638</v>
      </c>
      <c r="H259" s="5" t="s">
        <v>626</v>
      </c>
      <c r="I259" s="5" t="s">
        <v>206</v>
      </c>
      <c r="J259" s="5" t="s">
        <v>112</v>
      </c>
      <c r="K259" s="5" t="s">
        <v>275</v>
      </c>
      <c r="L259" s="6">
        <v>38983</v>
      </c>
    </row>
    <row r="260" spans="1:12" x14ac:dyDescent="0.25">
      <c r="A260" s="5">
        <v>259</v>
      </c>
      <c r="B260" s="5" t="s">
        <v>297</v>
      </c>
      <c r="C260" s="5" t="s">
        <v>75</v>
      </c>
      <c r="D260" s="5" t="s">
        <v>59</v>
      </c>
      <c r="E260" s="5" t="s">
        <v>285</v>
      </c>
      <c r="F260" s="5" t="s">
        <v>607</v>
      </c>
      <c r="G260" s="5">
        <v>7795906592</v>
      </c>
      <c r="H260" s="5" t="s">
        <v>627</v>
      </c>
      <c r="I260" s="5" t="s">
        <v>206</v>
      </c>
      <c r="J260" s="5" t="s">
        <v>112</v>
      </c>
      <c r="K260" s="5" t="s">
        <v>288</v>
      </c>
      <c r="L260" s="6">
        <v>38721</v>
      </c>
    </row>
    <row r="261" spans="1:12" x14ac:dyDescent="0.25">
      <c r="A261" s="5">
        <v>260</v>
      </c>
      <c r="B261" s="5" t="s">
        <v>7</v>
      </c>
      <c r="C261" s="5" t="s">
        <v>83</v>
      </c>
      <c r="D261" s="5" t="s">
        <v>59</v>
      </c>
      <c r="E261" s="5" t="s">
        <v>306</v>
      </c>
      <c r="F261" s="5" t="s">
        <v>628</v>
      </c>
      <c r="G261" s="5">
        <v>8329249836</v>
      </c>
      <c r="H261" s="5" t="s">
        <v>629</v>
      </c>
      <c r="I261" s="5" t="s">
        <v>206</v>
      </c>
      <c r="J261" s="5" t="s">
        <v>80</v>
      </c>
      <c r="K261" s="5" t="s">
        <v>275</v>
      </c>
      <c r="L261" s="6">
        <v>39053</v>
      </c>
    </row>
    <row r="262" spans="1:12" x14ac:dyDescent="0.25">
      <c r="A262" s="5">
        <v>261</v>
      </c>
      <c r="B262" s="5" t="s">
        <v>630</v>
      </c>
      <c r="C262" s="5" t="s">
        <v>75</v>
      </c>
      <c r="D262" s="5" t="s">
        <v>59</v>
      </c>
      <c r="E262" s="5" t="s">
        <v>131</v>
      </c>
      <c r="F262" s="5" t="s">
        <v>631</v>
      </c>
      <c r="G262" s="5">
        <v>9815705281</v>
      </c>
      <c r="H262" s="5" t="s">
        <v>632</v>
      </c>
      <c r="I262" s="5" t="s">
        <v>206</v>
      </c>
      <c r="J262" s="5" t="s">
        <v>80</v>
      </c>
      <c r="K262" s="5" t="s">
        <v>105</v>
      </c>
      <c r="L262" s="6">
        <v>38890</v>
      </c>
    </row>
    <row r="263" spans="1:12" x14ac:dyDescent="0.25">
      <c r="A263" s="5">
        <v>262</v>
      </c>
      <c r="B263" s="5" t="s">
        <v>230</v>
      </c>
      <c r="C263" s="5" t="s">
        <v>75</v>
      </c>
      <c r="D263" s="5" t="s">
        <v>59</v>
      </c>
      <c r="E263" s="5" t="s">
        <v>314</v>
      </c>
      <c r="F263" s="5" t="s">
        <v>633</v>
      </c>
      <c r="G263" s="5">
        <v>6207897991</v>
      </c>
      <c r="H263" s="5" t="s">
        <v>634</v>
      </c>
      <c r="I263" s="5" t="s">
        <v>206</v>
      </c>
      <c r="J263" s="5" t="s">
        <v>80</v>
      </c>
      <c r="K263" s="5" t="s">
        <v>275</v>
      </c>
      <c r="L263" s="6">
        <v>38788</v>
      </c>
    </row>
    <row r="264" spans="1:12" x14ac:dyDescent="0.25">
      <c r="A264" s="5">
        <v>263</v>
      </c>
      <c r="B264" s="5" t="s">
        <v>265</v>
      </c>
      <c r="C264" s="5" t="s">
        <v>75</v>
      </c>
      <c r="D264" s="5" t="s">
        <v>59</v>
      </c>
      <c r="E264" s="5" t="s">
        <v>300</v>
      </c>
      <c r="F264" s="5" t="s">
        <v>635</v>
      </c>
      <c r="G264" s="5">
        <v>9999838383</v>
      </c>
      <c r="H264" s="5" t="s">
        <v>636</v>
      </c>
      <c r="I264" s="5" t="s">
        <v>206</v>
      </c>
      <c r="J264" s="5" t="s">
        <v>112</v>
      </c>
      <c r="K264" s="5" t="s">
        <v>275</v>
      </c>
      <c r="L264" s="6">
        <v>38722</v>
      </c>
    </row>
    <row r="265" spans="1:12" x14ac:dyDescent="0.25">
      <c r="A265" s="5">
        <v>264</v>
      </c>
      <c r="B265" s="5" t="s">
        <v>575</v>
      </c>
      <c r="C265" s="5" t="s">
        <v>75</v>
      </c>
      <c r="D265" s="5" t="s">
        <v>59</v>
      </c>
      <c r="E265" s="5" t="s">
        <v>102</v>
      </c>
      <c r="F265" s="5" t="s">
        <v>576</v>
      </c>
      <c r="G265" s="5">
        <v>7294438552</v>
      </c>
      <c r="H265" s="5" t="s">
        <v>637</v>
      </c>
      <c r="I265" s="5" t="s">
        <v>206</v>
      </c>
      <c r="J265" s="5" t="s">
        <v>80</v>
      </c>
      <c r="K265" s="5" t="s">
        <v>105</v>
      </c>
      <c r="L265" s="6">
        <v>38962</v>
      </c>
    </row>
    <row r="266" spans="1:12" x14ac:dyDescent="0.25">
      <c r="A266" s="5">
        <v>265</v>
      </c>
      <c r="B266" s="5" t="s">
        <v>297</v>
      </c>
      <c r="C266" s="5" t="s">
        <v>75</v>
      </c>
      <c r="D266" s="5" t="s">
        <v>59</v>
      </c>
      <c r="E266" s="5" t="s">
        <v>351</v>
      </c>
      <c r="F266" s="5" t="s">
        <v>607</v>
      </c>
      <c r="G266" s="5">
        <v>8979412205</v>
      </c>
      <c r="H266" s="5" t="s">
        <v>638</v>
      </c>
      <c r="I266" s="5" t="s">
        <v>206</v>
      </c>
      <c r="J266" s="5" t="s">
        <v>80</v>
      </c>
      <c r="K266" s="5" t="s">
        <v>288</v>
      </c>
      <c r="L266" s="6">
        <v>38873</v>
      </c>
    </row>
    <row r="267" spans="1:12" x14ac:dyDescent="0.25">
      <c r="A267" s="5">
        <v>266</v>
      </c>
      <c r="B267" s="5" t="s">
        <v>265</v>
      </c>
      <c r="C267" s="5" t="s">
        <v>75</v>
      </c>
      <c r="D267" s="5" t="s">
        <v>59</v>
      </c>
      <c r="E267" s="5" t="s">
        <v>272</v>
      </c>
      <c r="F267" s="5" t="s">
        <v>635</v>
      </c>
      <c r="G267" s="5">
        <v>8541321137</v>
      </c>
      <c r="H267" s="5" t="s">
        <v>639</v>
      </c>
      <c r="I267" s="5" t="s">
        <v>206</v>
      </c>
      <c r="J267" s="5" t="s">
        <v>80</v>
      </c>
      <c r="K267" s="5" t="s">
        <v>275</v>
      </c>
      <c r="L267" s="6">
        <v>38859</v>
      </c>
    </row>
    <row r="268" spans="1:12" x14ac:dyDescent="0.25">
      <c r="A268" s="5">
        <v>267</v>
      </c>
      <c r="B268" s="5" t="s">
        <v>239</v>
      </c>
      <c r="C268" s="5" t="s">
        <v>75</v>
      </c>
      <c r="D268" s="5" t="s">
        <v>59</v>
      </c>
      <c r="E268" s="5" t="s">
        <v>102</v>
      </c>
      <c r="F268" s="5" t="s">
        <v>584</v>
      </c>
      <c r="G268" s="5">
        <v>8973063563</v>
      </c>
      <c r="H268" s="5" t="s">
        <v>640</v>
      </c>
      <c r="I268" s="5" t="s">
        <v>206</v>
      </c>
      <c r="J268" s="5" t="s">
        <v>129</v>
      </c>
      <c r="K268" s="5" t="s">
        <v>105</v>
      </c>
      <c r="L268" s="6">
        <v>39048</v>
      </c>
    </row>
    <row r="269" spans="1:12" x14ac:dyDescent="0.25">
      <c r="A269" s="5">
        <v>268</v>
      </c>
      <c r="B269" s="5" t="s">
        <v>641</v>
      </c>
      <c r="C269" s="5" t="s">
        <v>75</v>
      </c>
      <c r="D269" s="5" t="s">
        <v>59</v>
      </c>
      <c r="E269" s="5" t="s">
        <v>306</v>
      </c>
      <c r="F269" s="5" t="s">
        <v>642</v>
      </c>
      <c r="G269" s="5">
        <v>7815938894</v>
      </c>
      <c r="H269" s="5" t="s">
        <v>643</v>
      </c>
      <c r="I269" s="5" t="s">
        <v>247</v>
      </c>
      <c r="J269" s="5" t="s">
        <v>80</v>
      </c>
      <c r="K269" s="5" t="s">
        <v>275</v>
      </c>
      <c r="L269" s="6">
        <v>39176</v>
      </c>
    </row>
    <row r="270" spans="1:12" x14ac:dyDescent="0.25">
      <c r="A270" s="5">
        <v>269</v>
      </c>
      <c r="B270" s="5" t="s">
        <v>262</v>
      </c>
      <c r="C270" s="5" t="s">
        <v>75</v>
      </c>
      <c r="D270" s="5" t="s">
        <v>59</v>
      </c>
      <c r="E270" s="5" t="s">
        <v>102</v>
      </c>
      <c r="F270" s="5" t="s">
        <v>644</v>
      </c>
      <c r="G270" s="5">
        <v>9538660893</v>
      </c>
      <c r="H270" s="5" t="s">
        <v>645</v>
      </c>
      <c r="I270" s="5" t="s">
        <v>247</v>
      </c>
      <c r="J270" s="5" t="s">
        <v>80</v>
      </c>
      <c r="K270" s="5" t="s">
        <v>105</v>
      </c>
      <c r="L270" s="6">
        <v>39094</v>
      </c>
    </row>
    <row r="271" spans="1:12" x14ac:dyDescent="0.25">
      <c r="A271" s="5">
        <v>270</v>
      </c>
      <c r="B271" s="5" t="s">
        <v>457</v>
      </c>
      <c r="C271" s="5" t="s">
        <v>75</v>
      </c>
      <c r="D271" s="5" t="s">
        <v>59</v>
      </c>
      <c r="E271" s="5" t="s">
        <v>131</v>
      </c>
      <c r="F271" s="5" t="s">
        <v>646</v>
      </c>
      <c r="G271" s="5">
        <v>7601357824</v>
      </c>
      <c r="H271" s="5" t="s">
        <v>611</v>
      </c>
      <c r="I271" s="5" t="s">
        <v>247</v>
      </c>
      <c r="J271" s="5" t="s">
        <v>80</v>
      </c>
      <c r="K271" s="5" t="s">
        <v>105</v>
      </c>
      <c r="L271" s="6">
        <v>39338</v>
      </c>
    </row>
    <row r="272" spans="1:12" x14ac:dyDescent="0.25">
      <c r="A272" s="5">
        <v>271</v>
      </c>
      <c r="B272" s="5" t="s">
        <v>282</v>
      </c>
      <c r="C272" s="5" t="s">
        <v>83</v>
      </c>
      <c r="D272" s="5" t="s">
        <v>59</v>
      </c>
      <c r="E272" s="5" t="s">
        <v>308</v>
      </c>
      <c r="F272" s="5" t="s">
        <v>647</v>
      </c>
      <c r="G272" s="5">
        <v>9068944091</v>
      </c>
      <c r="H272" s="5" t="s">
        <v>648</v>
      </c>
      <c r="I272" s="5" t="s">
        <v>247</v>
      </c>
      <c r="J272" s="5" t="s">
        <v>159</v>
      </c>
      <c r="K272" s="5" t="s">
        <v>288</v>
      </c>
      <c r="L272" s="6">
        <v>39207</v>
      </c>
    </row>
    <row r="273" spans="1:12" x14ac:dyDescent="0.25">
      <c r="A273" s="5">
        <v>272</v>
      </c>
      <c r="B273" s="5" t="s">
        <v>265</v>
      </c>
      <c r="C273" s="5" t="s">
        <v>75</v>
      </c>
      <c r="D273" s="5" t="s">
        <v>59</v>
      </c>
      <c r="E273" s="5" t="s">
        <v>285</v>
      </c>
      <c r="F273" s="5" t="s">
        <v>635</v>
      </c>
      <c r="G273" s="5">
        <v>8370439701</v>
      </c>
      <c r="H273" s="5" t="s">
        <v>649</v>
      </c>
      <c r="I273" s="5" t="s">
        <v>247</v>
      </c>
      <c r="J273" s="5" t="s">
        <v>80</v>
      </c>
      <c r="K273" s="5" t="s">
        <v>288</v>
      </c>
      <c r="L273" s="6">
        <v>39326</v>
      </c>
    </row>
    <row r="274" spans="1:12" x14ac:dyDescent="0.25">
      <c r="A274" s="5">
        <v>273</v>
      </c>
      <c r="B274" s="5" t="s">
        <v>165</v>
      </c>
      <c r="C274" s="5" t="s">
        <v>83</v>
      </c>
      <c r="D274" s="5" t="s">
        <v>59</v>
      </c>
      <c r="E274" s="5" t="s">
        <v>314</v>
      </c>
      <c r="F274" s="5" t="s">
        <v>650</v>
      </c>
      <c r="G274" s="5">
        <v>9087065488</v>
      </c>
      <c r="H274" s="5" t="s">
        <v>651</v>
      </c>
      <c r="I274" s="5" t="s">
        <v>247</v>
      </c>
      <c r="J274" s="5" t="s">
        <v>159</v>
      </c>
      <c r="K274" s="5" t="s">
        <v>275</v>
      </c>
      <c r="L274" s="6">
        <v>39187</v>
      </c>
    </row>
    <row r="275" spans="1:12" x14ac:dyDescent="0.25">
      <c r="A275" s="5">
        <v>274</v>
      </c>
      <c r="B275" s="5" t="s">
        <v>630</v>
      </c>
      <c r="C275" s="5" t="s">
        <v>75</v>
      </c>
      <c r="D275" s="5" t="s">
        <v>59</v>
      </c>
      <c r="E275" s="5" t="s">
        <v>268</v>
      </c>
      <c r="F275" s="5" t="s">
        <v>631</v>
      </c>
      <c r="G275" s="5">
        <v>8177889584</v>
      </c>
      <c r="H275" s="5" t="s">
        <v>652</v>
      </c>
      <c r="I275" s="5" t="s">
        <v>247</v>
      </c>
      <c r="J275" s="5" t="s">
        <v>80</v>
      </c>
      <c r="K275" s="5" t="s">
        <v>271</v>
      </c>
      <c r="L275" s="6">
        <v>39329</v>
      </c>
    </row>
    <row r="276" spans="1:12" x14ac:dyDescent="0.25">
      <c r="A276" s="5">
        <v>275</v>
      </c>
      <c r="B276" s="5" t="s">
        <v>420</v>
      </c>
      <c r="C276" s="5" t="s">
        <v>75</v>
      </c>
      <c r="D276" s="5" t="s">
        <v>59</v>
      </c>
      <c r="E276" s="5" t="s">
        <v>268</v>
      </c>
      <c r="F276" s="5" t="s">
        <v>653</v>
      </c>
      <c r="G276" s="5">
        <v>8565762806</v>
      </c>
      <c r="H276" s="5" t="s">
        <v>654</v>
      </c>
      <c r="I276" s="5" t="s">
        <v>247</v>
      </c>
      <c r="J276" s="5" t="s">
        <v>80</v>
      </c>
      <c r="K276" s="5" t="s">
        <v>271</v>
      </c>
      <c r="L276" s="6">
        <v>39359</v>
      </c>
    </row>
    <row r="277" spans="1:12" x14ac:dyDescent="0.25">
      <c r="A277" s="5">
        <v>276</v>
      </c>
      <c r="B277" s="5" t="s">
        <v>600</v>
      </c>
      <c r="C277" s="5" t="s">
        <v>83</v>
      </c>
      <c r="D277" s="5" t="s">
        <v>59</v>
      </c>
      <c r="E277" s="5" t="s">
        <v>292</v>
      </c>
      <c r="F277" s="5" t="s">
        <v>601</v>
      </c>
      <c r="G277" s="5">
        <v>9214977519</v>
      </c>
      <c r="H277" s="5" t="s">
        <v>589</v>
      </c>
      <c r="I277" s="5" t="s">
        <v>247</v>
      </c>
      <c r="J277" s="5" t="s">
        <v>129</v>
      </c>
      <c r="K277" s="5" t="s">
        <v>288</v>
      </c>
      <c r="L277" s="6">
        <v>39366</v>
      </c>
    </row>
    <row r="278" spans="1:12" x14ac:dyDescent="0.25">
      <c r="A278" s="5">
        <v>277</v>
      </c>
      <c r="B278" s="5" t="s">
        <v>86</v>
      </c>
      <c r="C278" s="5" t="s">
        <v>75</v>
      </c>
      <c r="D278" s="5" t="s">
        <v>59</v>
      </c>
      <c r="E278" s="5" t="s">
        <v>102</v>
      </c>
      <c r="F278" s="5" t="s">
        <v>580</v>
      </c>
      <c r="G278" s="5">
        <v>8088785343</v>
      </c>
      <c r="H278" s="5" t="s">
        <v>655</v>
      </c>
      <c r="I278" s="5" t="s">
        <v>247</v>
      </c>
      <c r="J278" s="5" t="s">
        <v>129</v>
      </c>
      <c r="K278" s="5" t="s">
        <v>105</v>
      </c>
      <c r="L278" s="6">
        <v>39341</v>
      </c>
    </row>
    <row r="279" spans="1:12" x14ac:dyDescent="0.25">
      <c r="A279" s="5">
        <v>278</v>
      </c>
      <c r="B279" s="5" t="s">
        <v>476</v>
      </c>
      <c r="C279" s="5" t="s">
        <v>83</v>
      </c>
      <c r="D279" s="5" t="s">
        <v>59</v>
      </c>
      <c r="E279" s="5" t="s">
        <v>102</v>
      </c>
      <c r="F279" s="5" t="s">
        <v>656</v>
      </c>
      <c r="G279" s="5">
        <v>8183132800</v>
      </c>
      <c r="H279" s="5" t="s">
        <v>657</v>
      </c>
      <c r="I279" s="5" t="s">
        <v>247</v>
      </c>
      <c r="J279" s="5" t="s">
        <v>80</v>
      </c>
      <c r="K279" s="5" t="s">
        <v>105</v>
      </c>
      <c r="L279" s="6">
        <v>39261</v>
      </c>
    </row>
    <row r="280" spans="1:12" x14ac:dyDescent="0.25">
      <c r="A280" s="5">
        <v>279</v>
      </c>
      <c r="B280" s="5" t="s">
        <v>116</v>
      </c>
      <c r="C280" s="5" t="s">
        <v>83</v>
      </c>
      <c r="D280" s="5" t="s">
        <v>59</v>
      </c>
      <c r="E280" s="5" t="s">
        <v>308</v>
      </c>
      <c r="F280" s="5" t="s">
        <v>658</v>
      </c>
      <c r="G280" s="5">
        <v>7854583679</v>
      </c>
      <c r="H280" s="5" t="s">
        <v>659</v>
      </c>
      <c r="I280" s="5" t="s">
        <v>247</v>
      </c>
      <c r="J280" s="5" t="s">
        <v>80</v>
      </c>
      <c r="K280" s="5" t="s">
        <v>288</v>
      </c>
      <c r="L280" s="6">
        <v>39153</v>
      </c>
    </row>
    <row r="281" spans="1:12" x14ac:dyDescent="0.25">
      <c r="A281" s="5">
        <v>280</v>
      </c>
      <c r="B281" s="5" t="s">
        <v>442</v>
      </c>
      <c r="C281" s="5" t="s">
        <v>83</v>
      </c>
      <c r="D281" s="5" t="s">
        <v>59</v>
      </c>
      <c r="E281" s="5" t="s">
        <v>285</v>
      </c>
      <c r="F281" s="5" t="s">
        <v>617</v>
      </c>
      <c r="G281" s="5">
        <v>9077559246</v>
      </c>
      <c r="H281" s="5" t="s">
        <v>660</v>
      </c>
      <c r="I281" s="5" t="s">
        <v>247</v>
      </c>
      <c r="J281" s="5" t="s">
        <v>80</v>
      </c>
      <c r="K281" s="5" t="s">
        <v>288</v>
      </c>
      <c r="L281" s="6">
        <v>39258</v>
      </c>
    </row>
    <row r="282" spans="1:12" x14ac:dyDescent="0.25">
      <c r="A282" s="5">
        <v>281</v>
      </c>
      <c r="B282" s="5" t="s">
        <v>661</v>
      </c>
      <c r="C282" s="5" t="s">
        <v>75</v>
      </c>
      <c r="D282" s="5" t="s">
        <v>59</v>
      </c>
      <c r="E282" s="5" t="s">
        <v>351</v>
      </c>
      <c r="F282" s="5" t="s">
        <v>662</v>
      </c>
      <c r="G282" s="5">
        <v>9612267221</v>
      </c>
      <c r="H282" s="5" t="s">
        <v>663</v>
      </c>
      <c r="I282" s="5" t="s">
        <v>247</v>
      </c>
      <c r="J282" s="5" t="s">
        <v>80</v>
      </c>
      <c r="K282" s="5" t="s">
        <v>288</v>
      </c>
      <c r="L282" s="6">
        <v>39438</v>
      </c>
    </row>
    <row r="283" spans="1:12" x14ac:dyDescent="0.25">
      <c r="A283" s="5">
        <v>282</v>
      </c>
      <c r="B283" s="5" t="s">
        <v>550</v>
      </c>
      <c r="C283" s="5" t="s">
        <v>75</v>
      </c>
      <c r="D283" s="5" t="s">
        <v>59</v>
      </c>
      <c r="E283" s="5" t="s">
        <v>300</v>
      </c>
      <c r="F283" s="5" t="s">
        <v>664</v>
      </c>
      <c r="G283" s="5">
        <v>7943493501</v>
      </c>
      <c r="H283" s="5" t="s">
        <v>665</v>
      </c>
      <c r="I283" s="5" t="s">
        <v>247</v>
      </c>
      <c r="J283" s="5" t="s">
        <v>159</v>
      </c>
      <c r="K283" s="5" t="s">
        <v>275</v>
      </c>
      <c r="L283" s="6">
        <v>39266</v>
      </c>
    </row>
    <row r="284" spans="1:12" x14ac:dyDescent="0.25">
      <c r="A284" s="5">
        <v>283</v>
      </c>
      <c r="B284" s="5" t="s">
        <v>486</v>
      </c>
      <c r="C284" s="5" t="s">
        <v>83</v>
      </c>
      <c r="D284" s="5" t="s">
        <v>39</v>
      </c>
      <c r="E284" s="5" t="s">
        <v>184</v>
      </c>
      <c r="F284" s="5" t="s">
        <v>666</v>
      </c>
      <c r="G284" s="5">
        <v>8541524810</v>
      </c>
      <c r="H284" s="5" t="s">
        <v>667</v>
      </c>
      <c r="I284" s="5" t="s">
        <v>79</v>
      </c>
      <c r="J284" s="5" t="s">
        <v>80</v>
      </c>
      <c r="K284" s="5" t="s">
        <v>90</v>
      </c>
      <c r="L284" s="6">
        <v>38325</v>
      </c>
    </row>
    <row r="285" spans="1:12" x14ac:dyDescent="0.25">
      <c r="A285" s="5">
        <v>284</v>
      </c>
      <c r="B285" s="5" t="s">
        <v>203</v>
      </c>
      <c r="C285" s="5" t="s">
        <v>83</v>
      </c>
      <c r="D285" s="5" t="s">
        <v>39</v>
      </c>
      <c r="E285" s="5" t="s">
        <v>135</v>
      </c>
      <c r="F285" s="5" t="s">
        <v>668</v>
      </c>
      <c r="G285" s="5">
        <v>9971934602</v>
      </c>
      <c r="H285" s="5" t="s">
        <v>669</v>
      </c>
      <c r="I285" s="5" t="s">
        <v>79</v>
      </c>
      <c r="J285" s="5" t="s">
        <v>80</v>
      </c>
      <c r="K285" s="5" t="s">
        <v>81</v>
      </c>
      <c r="L285" s="6">
        <v>38160</v>
      </c>
    </row>
    <row r="286" spans="1:12" x14ac:dyDescent="0.25">
      <c r="A286" s="5">
        <v>285</v>
      </c>
      <c r="B286" s="5" t="s">
        <v>420</v>
      </c>
      <c r="C286" s="5" t="s">
        <v>83</v>
      </c>
      <c r="D286" s="5" t="s">
        <v>39</v>
      </c>
      <c r="E286" s="5" t="s">
        <v>102</v>
      </c>
      <c r="F286" s="5" t="s">
        <v>670</v>
      </c>
      <c r="G286" s="5">
        <v>7867308073</v>
      </c>
      <c r="H286" s="5" t="s">
        <v>671</v>
      </c>
      <c r="I286" s="5" t="s">
        <v>79</v>
      </c>
      <c r="J286" s="5" t="s">
        <v>80</v>
      </c>
      <c r="K286" s="5" t="s">
        <v>105</v>
      </c>
      <c r="L286" s="6">
        <v>38034</v>
      </c>
    </row>
    <row r="287" spans="1:12" x14ac:dyDescent="0.25">
      <c r="A287" s="5">
        <v>286</v>
      </c>
      <c r="B287" s="5" t="s">
        <v>155</v>
      </c>
      <c r="C287" s="5" t="s">
        <v>75</v>
      </c>
      <c r="D287" s="5" t="s">
        <v>39</v>
      </c>
      <c r="E287" s="5" t="s">
        <v>184</v>
      </c>
      <c r="F287" s="5" t="s">
        <v>672</v>
      </c>
      <c r="G287" s="5">
        <v>8188276643</v>
      </c>
      <c r="H287" s="5" t="s">
        <v>673</v>
      </c>
      <c r="I287" s="5" t="s">
        <v>79</v>
      </c>
      <c r="J287" s="5" t="s">
        <v>80</v>
      </c>
      <c r="K287" s="5" t="s">
        <v>90</v>
      </c>
      <c r="L287" s="6">
        <v>38212</v>
      </c>
    </row>
    <row r="288" spans="1:12" x14ac:dyDescent="0.25">
      <c r="A288" s="5">
        <v>287</v>
      </c>
      <c r="B288" s="5" t="s">
        <v>317</v>
      </c>
      <c r="C288" s="5" t="s">
        <v>83</v>
      </c>
      <c r="D288" s="5" t="s">
        <v>39</v>
      </c>
      <c r="E288" s="5" t="s">
        <v>117</v>
      </c>
      <c r="F288" s="5" t="s">
        <v>674</v>
      </c>
      <c r="G288" s="5">
        <v>9170635909</v>
      </c>
      <c r="H288" s="5" t="s">
        <v>675</v>
      </c>
      <c r="I288" s="5" t="s">
        <v>79</v>
      </c>
      <c r="J288" s="5" t="s">
        <v>129</v>
      </c>
      <c r="K288" s="5" t="s">
        <v>90</v>
      </c>
      <c r="L288" s="6">
        <v>38063</v>
      </c>
    </row>
    <row r="289" spans="1:12" x14ac:dyDescent="0.25">
      <c r="A289" s="5">
        <v>288</v>
      </c>
      <c r="B289" s="5" t="s">
        <v>228</v>
      </c>
      <c r="C289" s="5" t="s">
        <v>83</v>
      </c>
      <c r="D289" s="5" t="s">
        <v>39</v>
      </c>
      <c r="E289" s="5" t="s">
        <v>92</v>
      </c>
      <c r="F289" s="5" t="s">
        <v>676</v>
      </c>
      <c r="G289" s="5">
        <v>8382601521</v>
      </c>
      <c r="H289" s="5" t="s">
        <v>677</v>
      </c>
      <c r="I289" s="5" t="s">
        <v>79</v>
      </c>
      <c r="J289" s="5" t="s">
        <v>80</v>
      </c>
      <c r="K289" s="5" t="s">
        <v>81</v>
      </c>
      <c r="L289" s="6">
        <v>38072</v>
      </c>
    </row>
    <row r="290" spans="1:12" x14ac:dyDescent="0.25">
      <c r="A290" s="5">
        <v>289</v>
      </c>
      <c r="B290" s="5" t="s">
        <v>368</v>
      </c>
      <c r="C290" s="5" t="s">
        <v>75</v>
      </c>
      <c r="D290" s="5" t="s">
        <v>39</v>
      </c>
      <c r="E290" s="5" t="s">
        <v>92</v>
      </c>
      <c r="F290" s="5" t="s">
        <v>678</v>
      </c>
      <c r="G290" s="5">
        <v>8217808695</v>
      </c>
      <c r="H290" s="5" t="s">
        <v>679</v>
      </c>
      <c r="I290" s="5" t="s">
        <v>79</v>
      </c>
      <c r="J290" s="5" t="s">
        <v>80</v>
      </c>
      <c r="K290" s="5" t="s">
        <v>81</v>
      </c>
      <c r="L290" s="6">
        <v>38158</v>
      </c>
    </row>
    <row r="291" spans="1:12" x14ac:dyDescent="0.25">
      <c r="A291" s="5">
        <v>290</v>
      </c>
      <c r="B291" s="5" t="s">
        <v>377</v>
      </c>
      <c r="C291" s="5" t="s">
        <v>75</v>
      </c>
      <c r="D291" s="5" t="s">
        <v>39</v>
      </c>
      <c r="E291" s="5" t="s">
        <v>126</v>
      </c>
      <c r="F291" s="5" t="s">
        <v>680</v>
      </c>
      <c r="G291" s="5">
        <v>7255854619</v>
      </c>
      <c r="H291" s="5" t="s">
        <v>681</v>
      </c>
      <c r="I291" s="5" t="s">
        <v>79</v>
      </c>
      <c r="J291" s="5" t="s">
        <v>80</v>
      </c>
      <c r="K291" s="5" t="s">
        <v>90</v>
      </c>
      <c r="L291" s="6">
        <v>38269</v>
      </c>
    </row>
    <row r="292" spans="1:12" x14ac:dyDescent="0.25">
      <c r="A292" s="5">
        <v>291</v>
      </c>
      <c r="B292" s="5" t="s">
        <v>682</v>
      </c>
      <c r="C292" s="5" t="s">
        <v>75</v>
      </c>
      <c r="D292" s="5" t="s">
        <v>39</v>
      </c>
      <c r="E292" s="5" t="s">
        <v>76</v>
      </c>
      <c r="F292" s="5" t="s">
        <v>683</v>
      </c>
      <c r="G292" s="5">
        <v>6435305293</v>
      </c>
      <c r="H292" s="5" t="s">
        <v>684</v>
      </c>
      <c r="I292" s="5" t="s">
        <v>79</v>
      </c>
      <c r="J292" s="5" t="s">
        <v>80</v>
      </c>
      <c r="K292" s="5" t="s">
        <v>81</v>
      </c>
      <c r="L292" s="6">
        <v>38080</v>
      </c>
    </row>
    <row r="293" spans="1:12" x14ac:dyDescent="0.25">
      <c r="A293" s="5">
        <v>292</v>
      </c>
      <c r="B293" s="5" t="s">
        <v>303</v>
      </c>
      <c r="C293" s="5" t="s">
        <v>75</v>
      </c>
      <c r="D293" s="5" t="s">
        <v>39</v>
      </c>
      <c r="E293" s="5" t="s">
        <v>87</v>
      </c>
      <c r="F293" s="5" t="s">
        <v>685</v>
      </c>
      <c r="G293" s="5">
        <v>8009228365</v>
      </c>
      <c r="H293" s="5" t="s">
        <v>686</v>
      </c>
      <c r="I293" s="5" t="s">
        <v>79</v>
      </c>
      <c r="J293" s="5" t="s">
        <v>112</v>
      </c>
      <c r="K293" s="5" t="s">
        <v>90</v>
      </c>
      <c r="L293" s="6">
        <v>38349</v>
      </c>
    </row>
    <row r="294" spans="1:12" x14ac:dyDescent="0.25">
      <c r="A294" s="5">
        <v>293</v>
      </c>
      <c r="B294" s="5" t="s">
        <v>357</v>
      </c>
      <c r="C294" s="5" t="s">
        <v>83</v>
      </c>
      <c r="D294" s="5" t="s">
        <v>39</v>
      </c>
      <c r="E294" s="5" t="s">
        <v>131</v>
      </c>
      <c r="F294" s="5" t="s">
        <v>687</v>
      </c>
      <c r="G294" s="5">
        <v>6176164331</v>
      </c>
      <c r="H294" s="5" t="s">
        <v>688</v>
      </c>
      <c r="I294" s="5" t="s">
        <v>79</v>
      </c>
      <c r="J294" s="5" t="s">
        <v>80</v>
      </c>
      <c r="K294" s="5" t="s">
        <v>105</v>
      </c>
      <c r="L294" s="6">
        <v>38275</v>
      </c>
    </row>
    <row r="295" spans="1:12" x14ac:dyDescent="0.25">
      <c r="A295" s="5">
        <v>294</v>
      </c>
      <c r="B295" s="5" t="s">
        <v>486</v>
      </c>
      <c r="C295" s="5" t="s">
        <v>75</v>
      </c>
      <c r="D295" s="5" t="s">
        <v>39</v>
      </c>
      <c r="E295" s="5" t="s">
        <v>76</v>
      </c>
      <c r="F295" s="5" t="s">
        <v>666</v>
      </c>
      <c r="G295" s="5">
        <v>6512352092</v>
      </c>
      <c r="H295" s="5" t="s">
        <v>659</v>
      </c>
      <c r="I295" s="5" t="s">
        <v>79</v>
      </c>
      <c r="J295" s="5" t="s">
        <v>80</v>
      </c>
      <c r="K295" s="5" t="s">
        <v>81</v>
      </c>
      <c r="L295" s="6">
        <v>38102</v>
      </c>
    </row>
    <row r="296" spans="1:12" x14ac:dyDescent="0.25">
      <c r="A296" s="5">
        <v>295</v>
      </c>
      <c r="B296" s="5" t="s">
        <v>575</v>
      </c>
      <c r="C296" s="5" t="s">
        <v>75</v>
      </c>
      <c r="D296" s="5" t="s">
        <v>39</v>
      </c>
      <c r="E296" s="5" t="s">
        <v>224</v>
      </c>
      <c r="F296" s="5" t="s">
        <v>689</v>
      </c>
      <c r="G296" s="5">
        <v>8052687184</v>
      </c>
      <c r="H296" s="5" t="s">
        <v>690</v>
      </c>
      <c r="I296" s="5" t="s">
        <v>79</v>
      </c>
      <c r="J296" s="5" t="s">
        <v>129</v>
      </c>
      <c r="K296" s="5" t="s">
        <v>105</v>
      </c>
      <c r="L296" s="6">
        <v>38171</v>
      </c>
    </row>
    <row r="297" spans="1:12" x14ac:dyDescent="0.25">
      <c r="A297" s="5">
        <v>296</v>
      </c>
      <c r="B297" s="5" t="s">
        <v>661</v>
      </c>
      <c r="C297" s="5" t="s">
        <v>83</v>
      </c>
      <c r="D297" s="5" t="s">
        <v>39</v>
      </c>
      <c r="E297" s="5" t="s">
        <v>135</v>
      </c>
      <c r="F297" s="5" t="s">
        <v>691</v>
      </c>
      <c r="G297" s="5">
        <v>8885399850</v>
      </c>
      <c r="H297" s="5" t="s">
        <v>692</v>
      </c>
      <c r="I297" s="5" t="s">
        <v>79</v>
      </c>
      <c r="J297" s="5" t="s">
        <v>80</v>
      </c>
      <c r="K297" s="5" t="s">
        <v>81</v>
      </c>
      <c r="L297" s="6">
        <v>38043</v>
      </c>
    </row>
    <row r="298" spans="1:12" x14ac:dyDescent="0.25">
      <c r="A298" s="5">
        <v>297</v>
      </c>
      <c r="B298" s="5" t="s">
        <v>550</v>
      </c>
      <c r="C298" s="5" t="s">
        <v>75</v>
      </c>
      <c r="D298" s="5" t="s">
        <v>39</v>
      </c>
      <c r="E298" s="5" t="s">
        <v>126</v>
      </c>
      <c r="F298" s="5" t="s">
        <v>693</v>
      </c>
      <c r="G298" s="5">
        <v>6037061721</v>
      </c>
      <c r="H298" s="5" t="s">
        <v>694</v>
      </c>
      <c r="I298" s="5" t="s">
        <v>79</v>
      </c>
      <c r="J298" s="5" t="s">
        <v>80</v>
      </c>
      <c r="K298" s="5" t="s">
        <v>90</v>
      </c>
      <c r="L298" s="6">
        <v>38242</v>
      </c>
    </row>
    <row r="299" spans="1:12" x14ac:dyDescent="0.25">
      <c r="A299" s="5">
        <v>298</v>
      </c>
      <c r="B299" s="5" t="s">
        <v>486</v>
      </c>
      <c r="C299" s="5" t="s">
        <v>75</v>
      </c>
      <c r="D299" s="5" t="s">
        <v>39</v>
      </c>
      <c r="E299" s="5" t="s">
        <v>102</v>
      </c>
      <c r="F299" s="5" t="s">
        <v>666</v>
      </c>
      <c r="G299" s="5">
        <v>8252586582</v>
      </c>
      <c r="H299" s="5" t="s">
        <v>639</v>
      </c>
      <c r="I299" s="5" t="s">
        <v>79</v>
      </c>
      <c r="J299" s="5" t="s">
        <v>129</v>
      </c>
      <c r="K299" s="5" t="s">
        <v>105</v>
      </c>
      <c r="L299" s="6">
        <v>38245</v>
      </c>
    </row>
    <row r="300" spans="1:12" x14ac:dyDescent="0.25">
      <c r="A300" s="5">
        <v>299</v>
      </c>
      <c r="B300" s="5" t="s">
        <v>125</v>
      </c>
      <c r="C300" s="5" t="s">
        <v>83</v>
      </c>
      <c r="D300" s="5" t="s">
        <v>39</v>
      </c>
      <c r="E300" s="5" t="s">
        <v>109</v>
      </c>
      <c r="F300" s="5" t="s">
        <v>695</v>
      </c>
      <c r="G300" s="5">
        <v>7945351797</v>
      </c>
      <c r="H300" s="5" t="s">
        <v>696</v>
      </c>
      <c r="I300" s="5" t="s">
        <v>79</v>
      </c>
      <c r="J300" s="5" t="s">
        <v>80</v>
      </c>
      <c r="K300" s="5" t="s">
        <v>81</v>
      </c>
      <c r="L300" s="6">
        <v>38314</v>
      </c>
    </row>
    <row r="301" spans="1:12" x14ac:dyDescent="0.25">
      <c r="A301" s="5">
        <v>300</v>
      </c>
      <c r="B301" s="5" t="s">
        <v>387</v>
      </c>
      <c r="C301" s="5" t="s">
        <v>75</v>
      </c>
      <c r="D301" s="5" t="s">
        <v>39</v>
      </c>
      <c r="E301" s="5" t="s">
        <v>184</v>
      </c>
      <c r="F301" s="5" t="s">
        <v>697</v>
      </c>
      <c r="G301" s="5">
        <v>6211405781</v>
      </c>
      <c r="H301" s="5" t="s">
        <v>698</v>
      </c>
      <c r="I301" s="5" t="s">
        <v>79</v>
      </c>
      <c r="J301" s="5" t="s">
        <v>80</v>
      </c>
      <c r="K301" s="5" t="s">
        <v>90</v>
      </c>
      <c r="L301" s="6">
        <v>38283</v>
      </c>
    </row>
    <row r="302" spans="1:12" x14ac:dyDescent="0.25">
      <c r="A302" s="5">
        <v>301</v>
      </c>
      <c r="B302" s="5" t="s">
        <v>183</v>
      </c>
      <c r="C302" s="5" t="s">
        <v>83</v>
      </c>
      <c r="D302" s="5" t="s">
        <v>39</v>
      </c>
      <c r="E302" s="5" t="s">
        <v>109</v>
      </c>
      <c r="F302" s="5" t="s">
        <v>699</v>
      </c>
      <c r="G302" s="5">
        <v>9157638399</v>
      </c>
      <c r="H302" s="5" t="s">
        <v>700</v>
      </c>
      <c r="I302" s="5" t="s">
        <v>79</v>
      </c>
      <c r="J302" s="5" t="s">
        <v>80</v>
      </c>
      <c r="K302" s="5" t="s">
        <v>81</v>
      </c>
      <c r="L302" s="6">
        <v>38129</v>
      </c>
    </row>
    <row r="303" spans="1:12" x14ac:dyDescent="0.25">
      <c r="A303" s="5">
        <v>302</v>
      </c>
      <c r="B303" s="5" t="s">
        <v>230</v>
      </c>
      <c r="C303" s="5" t="s">
        <v>83</v>
      </c>
      <c r="D303" s="5" t="s">
        <v>39</v>
      </c>
      <c r="E303" s="5" t="s">
        <v>76</v>
      </c>
      <c r="F303" s="5" t="s">
        <v>701</v>
      </c>
      <c r="G303" s="5">
        <v>7759111755</v>
      </c>
      <c r="H303" s="5" t="s">
        <v>673</v>
      </c>
      <c r="I303" s="5" t="s">
        <v>79</v>
      </c>
      <c r="J303" s="5" t="s">
        <v>80</v>
      </c>
      <c r="K303" s="5" t="s">
        <v>81</v>
      </c>
      <c r="L303" s="6">
        <v>38099</v>
      </c>
    </row>
    <row r="304" spans="1:12" x14ac:dyDescent="0.25">
      <c r="A304" s="5">
        <v>303</v>
      </c>
      <c r="B304" s="5" t="s">
        <v>297</v>
      </c>
      <c r="C304" s="5" t="s">
        <v>83</v>
      </c>
      <c r="D304" s="5" t="s">
        <v>39</v>
      </c>
      <c r="E304" s="5" t="s">
        <v>109</v>
      </c>
      <c r="F304" s="5" t="s">
        <v>702</v>
      </c>
      <c r="G304" s="5">
        <v>6572270377</v>
      </c>
      <c r="H304" s="5" t="s">
        <v>625</v>
      </c>
      <c r="I304" s="5" t="s">
        <v>158</v>
      </c>
      <c r="J304" s="5" t="s">
        <v>80</v>
      </c>
      <c r="K304" s="5" t="s">
        <v>81</v>
      </c>
      <c r="L304" s="6">
        <v>38676</v>
      </c>
    </row>
    <row r="305" spans="1:12" x14ac:dyDescent="0.25">
      <c r="A305" s="5">
        <v>304</v>
      </c>
      <c r="B305" s="5" t="s">
        <v>373</v>
      </c>
      <c r="C305" s="5" t="s">
        <v>83</v>
      </c>
      <c r="D305" s="5" t="s">
        <v>39</v>
      </c>
      <c r="E305" s="5" t="s">
        <v>92</v>
      </c>
      <c r="F305" s="5" t="s">
        <v>703</v>
      </c>
      <c r="G305" s="5">
        <v>8496655356</v>
      </c>
      <c r="H305" s="5" t="s">
        <v>577</v>
      </c>
      <c r="I305" s="5" t="s">
        <v>158</v>
      </c>
      <c r="J305" s="5" t="s">
        <v>112</v>
      </c>
      <c r="K305" s="5" t="s">
        <v>81</v>
      </c>
      <c r="L305" s="6">
        <v>38373</v>
      </c>
    </row>
    <row r="306" spans="1:12" x14ac:dyDescent="0.25">
      <c r="A306" s="5">
        <v>305</v>
      </c>
      <c r="B306" s="5" t="s">
        <v>393</v>
      </c>
      <c r="C306" s="5" t="s">
        <v>83</v>
      </c>
      <c r="D306" s="5" t="s">
        <v>39</v>
      </c>
      <c r="E306" s="5" t="s">
        <v>184</v>
      </c>
      <c r="F306" s="5" t="s">
        <v>704</v>
      </c>
      <c r="G306" s="5">
        <v>9424058579</v>
      </c>
      <c r="H306" s="5" t="s">
        <v>705</v>
      </c>
      <c r="I306" s="5" t="s">
        <v>158</v>
      </c>
      <c r="J306" s="5" t="s">
        <v>80</v>
      </c>
      <c r="K306" s="5" t="s">
        <v>90</v>
      </c>
      <c r="L306" s="6">
        <v>38485</v>
      </c>
    </row>
    <row r="307" spans="1:12" x14ac:dyDescent="0.25">
      <c r="A307" s="5">
        <v>306</v>
      </c>
      <c r="B307" s="5" t="s">
        <v>706</v>
      </c>
      <c r="C307" s="5" t="s">
        <v>83</v>
      </c>
      <c r="D307" s="5" t="s">
        <v>39</v>
      </c>
      <c r="E307" s="5" t="s">
        <v>117</v>
      </c>
      <c r="F307" s="5" t="s">
        <v>707</v>
      </c>
      <c r="G307" s="5">
        <v>8072858384</v>
      </c>
      <c r="H307" s="5" t="s">
        <v>708</v>
      </c>
      <c r="I307" s="5" t="s">
        <v>158</v>
      </c>
      <c r="J307" s="5" t="s">
        <v>129</v>
      </c>
      <c r="K307" s="5" t="s">
        <v>90</v>
      </c>
      <c r="L307" s="6">
        <v>38641</v>
      </c>
    </row>
    <row r="308" spans="1:12" x14ac:dyDescent="0.25">
      <c r="A308" s="5">
        <v>307</v>
      </c>
      <c r="B308" s="5" t="s">
        <v>303</v>
      </c>
      <c r="C308" s="5" t="s">
        <v>83</v>
      </c>
      <c r="D308" s="5" t="s">
        <v>39</v>
      </c>
      <c r="E308" s="5" t="s">
        <v>106</v>
      </c>
      <c r="F308" s="5" t="s">
        <v>685</v>
      </c>
      <c r="G308" s="5">
        <v>6564634111</v>
      </c>
      <c r="H308" s="5" t="s">
        <v>709</v>
      </c>
      <c r="I308" s="5" t="s">
        <v>158</v>
      </c>
      <c r="J308" s="5" t="s">
        <v>80</v>
      </c>
      <c r="K308" s="5" t="s">
        <v>105</v>
      </c>
      <c r="L308" s="6">
        <v>38393</v>
      </c>
    </row>
    <row r="309" spans="1:12" x14ac:dyDescent="0.25">
      <c r="A309" s="5">
        <v>308</v>
      </c>
      <c r="B309" s="5" t="s">
        <v>191</v>
      </c>
      <c r="C309" s="5" t="s">
        <v>83</v>
      </c>
      <c r="D309" s="5" t="s">
        <v>39</v>
      </c>
      <c r="E309" s="5" t="s">
        <v>126</v>
      </c>
      <c r="F309" s="5" t="s">
        <v>710</v>
      </c>
      <c r="G309" s="5">
        <v>6088509794</v>
      </c>
      <c r="H309" s="5" t="s">
        <v>637</v>
      </c>
      <c r="I309" s="5" t="s">
        <v>158</v>
      </c>
      <c r="J309" s="5" t="s">
        <v>80</v>
      </c>
      <c r="K309" s="5" t="s">
        <v>90</v>
      </c>
      <c r="L309" s="6">
        <v>38672</v>
      </c>
    </row>
    <row r="310" spans="1:12" x14ac:dyDescent="0.25">
      <c r="A310" s="5">
        <v>309</v>
      </c>
      <c r="B310" s="5" t="s">
        <v>396</v>
      </c>
      <c r="C310" s="5" t="s">
        <v>83</v>
      </c>
      <c r="D310" s="5" t="s">
        <v>39</v>
      </c>
      <c r="E310" s="5" t="s">
        <v>76</v>
      </c>
      <c r="F310" s="5" t="s">
        <v>711</v>
      </c>
      <c r="G310" s="5">
        <v>8610721070</v>
      </c>
      <c r="H310" s="5" t="s">
        <v>712</v>
      </c>
      <c r="I310" s="5" t="s">
        <v>158</v>
      </c>
      <c r="J310" s="5" t="s">
        <v>159</v>
      </c>
      <c r="K310" s="5" t="s">
        <v>81</v>
      </c>
      <c r="L310" s="6">
        <v>38675</v>
      </c>
    </row>
    <row r="311" spans="1:12" x14ac:dyDescent="0.25">
      <c r="A311" s="5">
        <v>310</v>
      </c>
      <c r="B311" s="5" t="s">
        <v>134</v>
      </c>
      <c r="C311" s="5" t="s">
        <v>75</v>
      </c>
      <c r="D311" s="5" t="s">
        <v>39</v>
      </c>
      <c r="E311" s="5" t="s">
        <v>92</v>
      </c>
      <c r="F311" s="5" t="s">
        <v>713</v>
      </c>
      <c r="G311" s="5">
        <v>8423933016</v>
      </c>
      <c r="H311" s="5" t="s">
        <v>705</v>
      </c>
      <c r="I311" s="5" t="s">
        <v>158</v>
      </c>
      <c r="J311" s="5" t="s">
        <v>80</v>
      </c>
      <c r="K311" s="5" t="s">
        <v>81</v>
      </c>
      <c r="L311" s="6">
        <v>38410</v>
      </c>
    </row>
    <row r="312" spans="1:12" x14ac:dyDescent="0.25">
      <c r="A312" s="5">
        <v>311</v>
      </c>
      <c r="B312" s="5" t="s">
        <v>384</v>
      </c>
      <c r="C312" s="5" t="s">
        <v>83</v>
      </c>
      <c r="D312" s="5" t="s">
        <v>39</v>
      </c>
      <c r="E312" s="5" t="s">
        <v>109</v>
      </c>
      <c r="F312" s="5" t="s">
        <v>714</v>
      </c>
      <c r="G312" s="5">
        <v>9593833795</v>
      </c>
      <c r="H312" s="5" t="s">
        <v>715</v>
      </c>
      <c r="I312" s="5" t="s">
        <v>158</v>
      </c>
      <c r="J312" s="5" t="s">
        <v>80</v>
      </c>
      <c r="K312" s="5" t="s">
        <v>81</v>
      </c>
      <c r="L312" s="6">
        <v>38584</v>
      </c>
    </row>
    <row r="313" spans="1:12" x14ac:dyDescent="0.25">
      <c r="A313" s="5">
        <v>312</v>
      </c>
      <c r="B313" s="5" t="s">
        <v>138</v>
      </c>
      <c r="C313" s="5" t="s">
        <v>83</v>
      </c>
      <c r="D313" s="5" t="s">
        <v>39</v>
      </c>
      <c r="E313" s="5" t="s">
        <v>135</v>
      </c>
      <c r="F313" s="5" t="s">
        <v>716</v>
      </c>
      <c r="G313" s="5">
        <v>8872491835</v>
      </c>
      <c r="H313" s="5" t="s">
        <v>717</v>
      </c>
      <c r="I313" s="5" t="s">
        <v>158</v>
      </c>
      <c r="J313" s="5" t="s">
        <v>80</v>
      </c>
      <c r="K313" s="5" t="s">
        <v>81</v>
      </c>
      <c r="L313" s="6">
        <v>38585</v>
      </c>
    </row>
    <row r="314" spans="1:12" x14ac:dyDescent="0.25">
      <c r="A314" s="5">
        <v>313</v>
      </c>
      <c r="B314" s="5" t="s">
        <v>682</v>
      </c>
      <c r="C314" s="5" t="s">
        <v>75</v>
      </c>
      <c r="D314" s="5" t="s">
        <v>39</v>
      </c>
      <c r="E314" s="5" t="s">
        <v>126</v>
      </c>
      <c r="F314" s="5" t="s">
        <v>683</v>
      </c>
      <c r="G314" s="5">
        <v>8966876395</v>
      </c>
      <c r="H314" s="5" t="s">
        <v>718</v>
      </c>
      <c r="I314" s="5" t="s">
        <v>158</v>
      </c>
      <c r="J314" s="5" t="s">
        <v>80</v>
      </c>
      <c r="K314" s="5" t="s">
        <v>90</v>
      </c>
      <c r="L314" s="6">
        <v>38463</v>
      </c>
    </row>
    <row r="315" spans="1:12" x14ac:dyDescent="0.25">
      <c r="A315" s="5">
        <v>314</v>
      </c>
      <c r="B315" s="5" t="s">
        <v>155</v>
      </c>
      <c r="C315" s="5" t="s">
        <v>83</v>
      </c>
      <c r="D315" s="5" t="s">
        <v>39</v>
      </c>
      <c r="E315" s="5" t="s">
        <v>184</v>
      </c>
      <c r="F315" s="5" t="s">
        <v>672</v>
      </c>
      <c r="G315" s="5">
        <v>7765999161</v>
      </c>
      <c r="H315" s="5" t="s">
        <v>719</v>
      </c>
      <c r="I315" s="5" t="s">
        <v>158</v>
      </c>
      <c r="J315" s="5" t="s">
        <v>80</v>
      </c>
      <c r="K315" s="5" t="s">
        <v>90</v>
      </c>
      <c r="L315" s="6">
        <v>38396</v>
      </c>
    </row>
    <row r="316" spans="1:12" x14ac:dyDescent="0.25">
      <c r="A316" s="5">
        <v>315</v>
      </c>
      <c r="B316" s="5" t="s">
        <v>505</v>
      </c>
      <c r="C316" s="5" t="s">
        <v>75</v>
      </c>
      <c r="D316" s="5" t="s">
        <v>39</v>
      </c>
      <c r="E316" s="5" t="s">
        <v>184</v>
      </c>
      <c r="F316" s="5" t="s">
        <v>720</v>
      </c>
      <c r="G316" s="5">
        <v>8910703366</v>
      </c>
      <c r="H316" s="5" t="s">
        <v>721</v>
      </c>
      <c r="I316" s="5" t="s">
        <v>158</v>
      </c>
      <c r="J316" s="5" t="s">
        <v>80</v>
      </c>
      <c r="K316" s="5" t="s">
        <v>90</v>
      </c>
      <c r="L316" s="6">
        <v>38516</v>
      </c>
    </row>
    <row r="317" spans="1:12" x14ac:dyDescent="0.25">
      <c r="A317" s="5">
        <v>316</v>
      </c>
      <c r="B317" s="5" t="s">
        <v>317</v>
      </c>
      <c r="C317" s="5" t="s">
        <v>75</v>
      </c>
      <c r="D317" s="5" t="s">
        <v>39</v>
      </c>
      <c r="E317" s="5" t="s">
        <v>109</v>
      </c>
      <c r="F317" s="5" t="s">
        <v>674</v>
      </c>
      <c r="G317" s="5">
        <v>8000425157</v>
      </c>
      <c r="H317" s="5" t="s">
        <v>722</v>
      </c>
      <c r="I317" s="5" t="s">
        <v>158</v>
      </c>
      <c r="J317" s="5" t="s">
        <v>80</v>
      </c>
      <c r="K317" s="5" t="s">
        <v>81</v>
      </c>
      <c r="L317" s="6">
        <v>38573</v>
      </c>
    </row>
    <row r="318" spans="1:12" x14ac:dyDescent="0.25">
      <c r="A318" s="5">
        <v>317</v>
      </c>
      <c r="B318" s="5" t="s">
        <v>723</v>
      </c>
      <c r="C318" s="5" t="s">
        <v>83</v>
      </c>
      <c r="D318" s="5" t="s">
        <v>39</v>
      </c>
      <c r="E318" s="5" t="s">
        <v>135</v>
      </c>
      <c r="F318" s="5" t="s">
        <v>724</v>
      </c>
      <c r="G318" s="5">
        <v>7087820475</v>
      </c>
      <c r="H318" s="5" t="s">
        <v>725</v>
      </c>
      <c r="I318" s="5" t="s">
        <v>158</v>
      </c>
      <c r="J318" s="5" t="s">
        <v>80</v>
      </c>
      <c r="K318" s="5" t="s">
        <v>81</v>
      </c>
      <c r="L318" s="6">
        <v>38679</v>
      </c>
    </row>
    <row r="319" spans="1:12" x14ac:dyDescent="0.25">
      <c r="A319" s="5">
        <v>318</v>
      </c>
      <c r="B319" s="5" t="s">
        <v>317</v>
      </c>
      <c r="C319" s="5" t="s">
        <v>83</v>
      </c>
      <c r="D319" s="5" t="s">
        <v>39</v>
      </c>
      <c r="E319" s="5" t="s">
        <v>109</v>
      </c>
      <c r="F319" s="5" t="s">
        <v>674</v>
      </c>
      <c r="G319" s="5">
        <v>8524245438</v>
      </c>
      <c r="H319" s="5" t="s">
        <v>643</v>
      </c>
      <c r="I319" s="5" t="s">
        <v>158</v>
      </c>
      <c r="J319" s="5" t="s">
        <v>80</v>
      </c>
      <c r="K319" s="5" t="s">
        <v>81</v>
      </c>
      <c r="L319" s="6">
        <v>38640</v>
      </c>
    </row>
    <row r="320" spans="1:12" x14ac:dyDescent="0.25">
      <c r="A320" s="5">
        <v>319</v>
      </c>
      <c r="B320" s="5" t="s">
        <v>544</v>
      </c>
      <c r="C320" s="5" t="s">
        <v>75</v>
      </c>
      <c r="D320" s="5" t="s">
        <v>39</v>
      </c>
      <c r="E320" s="5" t="s">
        <v>102</v>
      </c>
      <c r="F320" s="5" t="s">
        <v>726</v>
      </c>
      <c r="G320" s="5">
        <v>7351239710</v>
      </c>
      <c r="H320" s="5" t="s">
        <v>727</v>
      </c>
      <c r="I320" s="5" t="s">
        <v>158</v>
      </c>
      <c r="J320" s="5" t="s">
        <v>80</v>
      </c>
      <c r="K320" s="5" t="s">
        <v>105</v>
      </c>
      <c r="L320" s="6">
        <v>38650</v>
      </c>
    </row>
    <row r="321" spans="1:12" x14ac:dyDescent="0.25">
      <c r="A321" s="5">
        <v>320</v>
      </c>
      <c r="B321" s="5" t="s">
        <v>276</v>
      </c>
      <c r="C321" s="5" t="s">
        <v>75</v>
      </c>
      <c r="D321" s="5" t="s">
        <v>39</v>
      </c>
      <c r="E321" s="5" t="s">
        <v>117</v>
      </c>
      <c r="F321" s="5" t="s">
        <v>728</v>
      </c>
      <c r="G321" s="5">
        <v>8319051731</v>
      </c>
      <c r="H321" s="5" t="s">
        <v>729</v>
      </c>
      <c r="I321" s="5" t="s">
        <v>158</v>
      </c>
      <c r="J321" s="5" t="s">
        <v>80</v>
      </c>
      <c r="K321" s="5" t="s">
        <v>90</v>
      </c>
      <c r="L321" s="6">
        <v>38632</v>
      </c>
    </row>
    <row r="322" spans="1:12" x14ac:dyDescent="0.25">
      <c r="A322" s="5">
        <v>321</v>
      </c>
      <c r="B322" s="5" t="s">
        <v>641</v>
      </c>
      <c r="C322" s="5" t="s">
        <v>75</v>
      </c>
      <c r="D322" s="5" t="s">
        <v>39</v>
      </c>
      <c r="E322" s="5" t="s">
        <v>92</v>
      </c>
      <c r="F322" s="5" t="s">
        <v>730</v>
      </c>
      <c r="G322" s="5">
        <v>7137918516</v>
      </c>
      <c r="H322" s="5" t="s">
        <v>731</v>
      </c>
      <c r="I322" s="5" t="s">
        <v>158</v>
      </c>
      <c r="J322" s="5" t="s">
        <v>129</v>
      </c>
      <c r="K322" s="5" t="s">
        <v>81</v>
      </c>
      <c r="L322" s="6">
        <v>38407</v>
      </c>
    </row>
    <row r="323" spans="1:12" x14ac:dyDescent="0.25">
      <c r="A323" s="5">
        <v>322</v>
      </c>
      <c r="B323" s="5" t="s">
        <v>732</v>
      </c>
      <c r="C323" s="5" t="s">
        <v>83</v>
      </c>
      <c r="D323" s="5" t="s">
        <v>39</v>
      </c>
      <c r="E323" s="5" t="s">
        <v>184</v>
      </c>
      <c r="F323" s="5" t="s">
        <v>733</v>
      </c>
      <c r="G323" s="5">
        <v>9899992546</v>
      </c>
      <c r="H323" s="5" t="s">
        <v>734</v>
      </c>
      <c r="I323" s="5" t="s">
        <v>206</v>
      </c>
      <c r="J323" s="5" t="s">
        <v>80</v>
      </c>
      <c r="K323" s="5" t="s">
        <v>90</v>
      </c>
      <c r="L323" s="6">
        <v>38943</v>
      </c>
    </row>
    <row r="324" spans="1:12" x14ac:dyDescent="0.25">
      <c r="A324" s="5">
        <v>323</v>
      </c>
      <c r="B324" s="5" t="s">
        <v>396</v>
      </c>
      <c r="C324" s="5" t="s">
        <v>83</v>
      </c>
      <c r="D324" s="5" t="s">
        <v>39</v>
      </c>
      <c r="E324" s="5" t="s">
        <v>76</v>
      </c>
      <c r="F324" s="5" t="s">
        <v>711</v>
      </c>
      <c r="G324" s="5">
        <v>8486859746</v>
      </c>
      <c r="H324" s="5" t="s">
        <v>735</v>
      </c>
      <c r="I324" s="5" t="s">
        <v>206</v>
      </c>
      <c r="J324" s="5" t="s">
        <v>80</v>
      </c>
      <c r="K324" s="5" t="s">
        <v>81</v>
      </c>
      <c r="L324" s="6">
        <v>38725</v>
      </c>
    </row>
    <row r="325" spans="1:12" x14ac:dyDescent="0.25">
      <c r="A325" s="5">
        <v>324</v>
      </c>
      <c r="B325" s="5" t="s">
        <v>108</v>
      </c>
      <c r="C325" s="5" t="s">
        <v>75</v>
      </c>
      <c r="D325" s="5" t="s">
        <v>39</v>
      </c>
      <c r="E325" s="5" t="s">
        <v>109</v>
      </c>
      <c r="F325" s="5" t="s">
        <v>736</v>
      </c>
      <c r="G325" s="5">
        <v>8722562679</v>
      </c>
      <c r="H325" s="5" t="s">
        <v>737</v>
      </c>
      <c r="I325" s="5" t="s">
        <v>206</v>
      </c>
      <c r="J325" s="5" t="s">
        <v>80</v>
      </c>
      <c r="K325" s="5" t="s">
        <v>81</v>
      </c>
      <c r="L325" s="6">
        <v>39064</v>
      </c>
    </row>
    <row r="326" spans="1:12" x14ac:dyDescent="0.25">
      <c r="A326" s="5">
        <v>325</v>
      </c>
      <c r="B326" s="5" t="s">
        <v>682</v>
      </c>
      <c r="C326" s="5" t="s">
        <v>75</v>
      </c>
      <c r="D326" s="5" t="s">
        <v>39</v>
      </c>
      <c r="E326" s="5" t="s">
        <v>87</v>
      </c>
      <c r="F326" s="5" t="s">
        <v>683</v>
      </c>
      <c r="G326" s="5">
        <v>6398116903</v>
      </c>
      <c r="H326" s="5" t="s">
        <v>738</v>
      </c>
      <c r="I326" s="5" t="s">
        <v>206</v>
      </c>
      <c r="J326" s="5" t="s">
        <v>80</v>
      </c>
      <c r="K326" s="5" t="s">
        <v>90</v>
      </c>
      <c r="L326" s="6">
        <v>39009</v>
      </c>
    </row>
    <row r="327" spans="1:12" x14ac:dyDescent="0.25">
      <c r="A327" s="5">
        <v>326</v>
      </c>
      <c r="B327" s="5" t="s">
        <v>373</v>
      </c>
      <c r="C327" s="5" t="s">
        <v>75</v>
      </c>
      <c r="D327" s="5" t="s">
        <v>39</v>
      </c>
      <c r="E327" s="5" t="s">
        <v>135</v>
      </c>
      <c r="F327" s="5" t="s">
        <v>703</v>
      </c>
      <c r="G327" s="5">
        <v>6105362206</v>
      </c>
      <c r="H327" s="5" t="s">
        <v>739</v>
      </c>
      <c r="I327" s="5" t="s">
        <v>206</v>
      </c>
      <c r="J327" s="5" t="s">
        <v>80</v>
      </c>
      <c r="K327" s="5" t="s">
        <v>81</v>
      </c>
      <c r="L327" s="6">
        <v>38778</v>
      </c>
    </row>
    <row r="328" spans="1:12" x14ac:dyDescent="0.25">
      <c r="A328" s="5">
        <v>327</v>
      </c>
      <c r="B328" s="5" t="s">
        <v>442</v>
      </c>
      <c r="C328" s="5" t="s">
        <v>75</v>
      </c>
      <c r="D328" s="5" t="s">
        <v>39</v>
      </c>
      <c r="E328" s="5" t="s">
        <v>126</v>
      </c>
      <c r="F328" s="5" t="s">
        <v>740</v>
      </c>
      <c r="G328" s="5">
        <v>8957455390</v>
      </c>
      <c r="H328" s="5" t="s">
        <v>741</v>
      </c>
      <c r="I328" s="5" t="s">
        <v>206</v>
      </c>
      <c r="J328" s="5" t="s">
        <v>80</v>
      </c>
      <c r="K328" s="5" t="s">
        <v>90</v>
      </c>
      <c r="L328" s="6">
        <v>38792</v>
      </c>
    </row>
    <row r="329" spans="1:12" x14ac:dyDescent="0.25">
      <c r="A329" s="5">
        <v>328</v>
      </c>
      <c r="B329" s="5" t="s">
        <v>233</v>
      </c>
      <c r="C329" s="5" t="s">
        <v>83</v>
      </c>
      <c r="D329" s="5" t="s">
        <v>39</v>
      </c>
      <c r="E329" s="5" t="s">
        <v>76</v>
      </c>
      <c r="F329" s="5" t="s">
        <v>742</v>
      </c>
      <c r="G329" s="5">
        <v>9278658369</v>
      </c>
      <c r="H329" s="5" t="s">
        <v>708</v>
      </c>
      <c r="I329" s="5" t="s">
        <v>206</v>
      </c>
      <c r="J329" s="5" t="s">
        <v>80</v>
      </c>
      <c r="K329" s="5" t="s">
        <v>81</v>
      </c>
      <c r="L329" s="6">
        <v>39057</v>
      </c>
    </row>
    <row r="330" spans="1:12" x14ac:dyDescent="0.25">
      <c r="A330" s="5">
        <v>329</v>
      </c>
      <c r="B330" s="5" t="s">
        <v>600</v>
      </c>
      <c r="C330" s="5" t="s">
        <v>75</v>
      </c>
      <c r="D330" s="5" t="s">
        <v>39</v>
      </c>
      <c r="E330" s="5" t="s">
        <v>117</v>
      </c>
      <c r="F330" s="5" t="s">
        <v>743</v>
      </c>
      <c r="G330" s="5">
        <v>9633959943</v>
      </c>
      <c r="H330" s="5" t="s">
        <v>744</v>
      </c>
      <c r="I330" s="5" t="s">
        <v>206</v>
      </c>
      <c r="J330" s="5" t="s">
        <v>80</v>
      </c>
      <c r="K330" s="5" t="s">
        <v>90</v>
      </c>
      <c r="L330" s="6">
        <v>38743</v>
      </c>
    </row>
    <row r="331" spans="1:12" x14ac:dyDescent="0.25">
      <c r="A331" s="5">
        <v>330</v>
      </c>
      <c r="B331" s="5" t="s">
        <v>282</v>
      </c>
      <c r="C331" s="5" t="s">
        <v>75</v>
      </c>
      <c r="D331" s="5" t="s">
        <v>39</v>
      </c>
      <c r="E331" s="5" t="s">
        <v>76</v>
      </c>
      <c r="F331" s="5" t="s">
        <v>745</v>
      </c>
      <c r="G331" s="5">
        <v>9198992674</v>
      </c>
      <c r="H331" s="5" t="s">
        <v>721</v>
      </c>
      <c r="I331" s="5" t="s">
        <v>206</v>
      </c>
      <c r="J331" s="5" t="s">
        <v>80</v>
      </c>
      <c r="K331" s="5" t="s">
        <v>81</v>
      </c>
      <c r="L331" s="6">
        <v>39063</v>
      </c>
    </row>
    <row r="332" spans="1:12" x14ac:dyDescent="0.25">
      <c r="A332" s="5">
        <v>331</v>
      </c>
      <c r="B332" s="5" t="s">
        <v>221</v>
      </c>
      <c r="C332" s="5" t="s">
        <v>83</v>
      </c>
      <c r="D332" s="5" t="s">
        <v>39</v>
      </c>
      <c r="E332" s="5" t="s">
        <v>126</v>
      </c>
      <c r="F332" s="5" t="s">
        <v>746</v>
      </c>
      <c r="G332" s="5">
        <v>7464555740</v>
      </c>
      <c r="H332" s="5" t="s">
        <v>747</v>
      </c>
      <c r="I332" s="5" t="s">
        <v>206</v>
      </c>
      <c r="J332" s="5" t="s">
        <v>80</v>
      </c>
      <c r="K332" s="5" t="s">
        <v>90</v>
      </c>
      <c r="L332" s="6">
        <v>39014</v>
      </c>
    </row>
    <row r="333" spans="1:12" x14ac:dyDescent="0.25">
      <c r="A333" s="5">
        <v>332</v>
      </c>
      <c r="B333" s="5" t="s">
        <v>748</v>
      </c>
      <c r="C333" s="5" t="s">
        <v>75</v>
      </c>
      <c r="D333" s="5" t="s">
        <v>39</v>
      </c>
      <c r="E333" s="5" t="s">
        <v>135</v>
      </c>
      <c r="F333" s="5" t="s">
        <v>749</v>
      </c>
      <c r="G333" s="5">
        <v>8063682511</v>
      </c>
      <c r="H333" s="5" t="s">
        <v>750</v>
      </c>
      <c r="I333" s="5" t="s">
        <v>206</v>
      </c>
      <c r="J333" s="5" t="s">
        <v>80</v>
      </c>
      <c r="K333" s="5" t="s">
        <v>81</v>
      </c>
      <c r="L333" s="6">
        <v>38749</v>
      </c>
    </row>
    <row r="334" spans="1:12" x14ac:dyDescent="0.25">
      <c r="A334" s="5">
        <v>333</v>
      </c>
      <c r="B334" s="5" t="s">
        <v>505</v>
      </c>
      <c r="C334" s="5" t="s">
        <v>83</v>
      </c>
      <c r="D334" s="5" t="s">
        <v>39</v>
      </c>
      <c r="E334" s="5" t="s">
        <v>184</v>
      </c>
      <c r="F334" s="5" t="s">
        <v>720</v>
      </c>
      <c r="G334" s="5">
        <v>8610849380</v>
      </c>
      <c r="H334" s="5" t="s">
        <v>751</v>
      </c>
      <c r="I334" s="5" t="s">
        <v>206</v>
      </c>
      <c r="J334" s="5" t="s">
        <v>80</v>
      </c>
      <c r="K334" s="5" t="s">
        <v>90</v>
      </c>
      <c r="L334" s="6">
        <v>38794</v>
      </c>
    </row>
    <row r="335" spans="1:12" x14ac:dyDescent="0.25">
      <c r="A335" s="5">
        <v>334</v>
      </c>
      <c r="B335" s="5" t="s">
        <v>138</v>
      </c>
      <c r="C335" s="5" t="s">
        <v>75</v>
      </c>
      <c r="D335" s="5" t="s">
        <v>39</v>
      </c>
      <c r="E335" s="5" t="s">
        <v>224</v>
      </c>
      <c r="F335" s="5" t="s">
        <v>716</v>
      </c>
      <c r="G335" s="5">
        <v>8916319377</v>
      </c>
      <c r="H335" s="5" t="s">
        <v>752</v>
      </c>
      <c r="I335" s="5" t="s">
        <v>206</v>
      </c>
      <c r="J335" s="5" t="s">
        <v>80</v>
      </c>
      <c r="K335" s="5" t="s">
        <v>105</v>
      </c>
      <c r="L335" s="6">
        <v>38975</v>
      </c>
    </row>
    <row r="336" spans="1:12" x14ac:dyDescent="0.25">
      <c r="A336" s="5">
        <v>335</v>
      </c>
      <c r="B336" s="5" t="s">
        <v>113</v>
      </c>
      <c r="C336" s="5" t="s">
        <v>75</v>
      </c>
      <c r="D336" s="5" t="s">
        <v>39</v>
      </c>
      <c r="E336" s="5" t="s">
        <v>135</v>
      </c>
      <c r="F336" s="5" t="s">
        <v>753</v>
      </c>
      <c r="G336" s="5">
        <v>6455066498</v>
      </c>
      <c r="H336" s="5" t="s">
        <v>754</v>
      </c>
      <c r="I336" s="5" t="s">
        <v>206</v>
      </c>
      <c r="J336" s="5" t="s">
        <v>129</v>
      </c>
      <c r="K336" s="5" t="s">
        <v>81</v>
      </c>
      <c r="L336" s="6">
        <v>38808</v>
      </c>
    </row>
    <row r="337" spans="1:12" x14ac:dyDescent="0.25">
      <c r="A337" s="5">
        <v>336</v>
      </c>
      <c r="B337" s="5" t="s">
        <v>228</v>
      </c>
      <c r="C337" s="5" t="s">
        <v>83</v>
      </c>
      <c r="D337" s="5" t="s">
        <v>39</v>
      </c>
      <c r="E337" s="5" t="s">
        <v>76</v>
      </c>
      <c r="F337" s="5" t="s">
        <v>676</v>
      </c>
      <c r="G337" s="5">
        <v>9320431452</v>
      </c>
      <c r="H337" s="5" t="s">
        <v>564</v>
      </c>
      <c r="I337" s="5" t="s">
        <v>206</v>
      </c>
      <c r="J337" s="5" t="s">
        <v>80</v>
      </c>
      <c r="K337" s="5" t="s">
        <v>81</v>
      </c>
      <c r="L337" s="6">
        <v>39005</v>
      </c>
    </row>
    <row r="338" spans="1:12" x14ac:dyDescent="0.25">
      <c r="A338" s="5">
        <v>337</v>
      </c>
      <c r="B338" s="5" t="s">
        <v>328</v>
      </c>
      <c r="C338" s="5" t="s">
        <v>83</v>
      </c>
      <c r="D338" s="5" t="s">
        <v>39</v>
      </c>
      <c r="E338" s="5" t="s">
        <v>184</v>
      </c>
      <c r="F338" s="5" t="s">
        <v>755</v>
      </c>
      <c r="G338" s="5">
        <v>7312547154</v>
      </c>
      <c r="H338" s="5" t="s">
        <v>756</v>
      </c>
      <c r="I338" s="5" t="s">
        <v>206</v>
      </c>
      <c r="J338" s="5" t="s">
        <v>80</v>
      </c>
      <c r="K338" s="5" t="s">
        <v>90</v>
      </c>
      <c r="L338" s="6">
        <v>38817</v>
      </c>
    </row>
    <row r="339" spans="1:12" x14ac:dyDescent="0.25">
      <c r="A339" s="5">
        <v>338</v>
      </c>
      <c r="B339" s="5" t="s">
        <v>368</v>
      </c>
      <c r="C339" s="5" t="s">
        <v>83</v>
      </c>
      <c r="D339" s="5" t="s">
        <v>39</v>
      </c>
      <c r="E339" s="5" t="s">
        <v>87</v>
      </c>
      <c r="F339" s="5" t="s">
        <v>678</v>
      </c>
      <c r="G339" s="5">
        <v>8219210389</v>
      </c>
      <c r="H339" s="5" t="s">
        <v>614</v>
      </c>
      <c r="I339" s="5" t="s">
        <v>206</v>
      </c>
      <c r="J339" s="5" t="s">
        <v>80</v>
      </c>
      <c r="K339" s="5" t="s">
        <v>90</v>
      </c>
      <c r="L339" s="6">
        <v>38953</v>
      </c>
    </row>
    <row r="340" spans="1:12" x14ac:dyDescent="0.25">
      <c r="A340" s="5">
        <v>339</v>
      </c>
      <c r="B340" s="5" t="s">
        <v>486</v>
      </c>
      <c r="C340" s="5" t="s">
        <v>75</v>
      </c>
      <c r="D340" s="5" t="s">
        <v>39</v>
      </c>
      <c r="E340" s="5" t="s">
        <v>126</v>
      </c>
      <c r="F340" s="5" t="s">
        <v>666</v>
      </c>
      <c r="G340" s="5">
        <v>6267511246</v>
      </c>
      <c r="H340" s="5" t="s">
        <v>757</v>
      </c>
      <c r="I340" s="5" t="s">
        <v>206</v>
      </c>
      <c r="J340" s="5" t="s">
        <v>80</v>
      </c>
      <c r="K340" s="5" t="s">
        <v>90</v>
      </c>
      <c r="L340" s="6">
        <v>38984</v>
      </c>
    </row>
    <row r="341" spans="1:12" x14ac:dyDescent="0.25">
      <c r="A341" s="5">
        <v>340</v>
      </c>
      <c r="B341" s="5" t="s">
        <v>527</v>
      </c>
      <c r="C341" s="5" t="s">
        <v>83</v>
      </c>
      <c r="D341" s="5" t="s">
        <v>39</v>
      </c>
      <c r="E341" s="5" t="s">
        <v>102</v>
      </c>
      <c r="F341" s="5" t="s">
        <v>758</v>
      </c>
      <c r="G341" s="5">
        <v>7436137527</v>
      </c>
      <c r="H341" s="5" t="s">
        <v>756</v>
      </c>
      <c r="I341" s="5" t="s">
        <v>206</v>
      </c>
      <c r="J341" s="5" t="s">
        <v>80</v>
      </c>
      <c r="K341" s="5" t="s">
        <v>105</v>
      </c>
      <c r="L341" s="6">
        <v>38943</v>
      </c>
    </row>
    <row r="342" spans="1:12" x14ac:dyDescent="0.25">
      <c r="A342" s="5">
        <v>341</v>
      </c>
      <c r="B342" s="5" t="s">
        <v>377</v>
      </c>
      <c r="C342" s="5" t="s">
        <v>83</v>
      </c>
      <c r="D342" s="5" t="s">
        <v>39</v>
      </c>
      <c r="E342" s="5" t="s">
        <v>76</v>
      </c>
      <c r="F342" s="5" t="s">
        <v>680</v>
      </c>
      <c r="G342" s="5">
        <v>9730517552</v>
      </c>
      <c r="H342" s="5" t="s">
        <v>616</v>
      </c>
      <c r="I342" s="5" t="s">
        <v>206</v>
      </c>
      <c r="J342" s="5" t="s">
        <v>112</v>
      </c>
      <c r="K342" s="5" t="s">
        <v>81</v>
      </c>
      <c r="L342" s="6">
        <v>38850</v>
      </c>
    </row>
    <row r="343" spans="1:12" x14ac:dyDescent="0.25">
      <c r="A343" s="5">
        <v>342</v>
      </c>
      <c r="B343" s="5" t="s">
        <v>311</v>
      </c>
      <c r="C343" s="5" t="s">
        <v>75</v>
      </c>
      <c r="D343" s="5" t="s">
        <v>39</v>
      </c>
      <c r="E343" s="5" t="s">
        <v>131</v>
      </c>
      <c r="F343" s="5" t="s">
        <v>759</v>
      </c>
      <c r="G343" s="5">
        <v>7288757576</v>
      </c>
      <c r="H343" s="5" t="s">
        <v>760</v>
      </c>
      <c r="I343" s="5" t="s">
        <v>247</v>
      </c>
      <c r="J343" s="5" t="s">
        <v>80</v>
      </c>
      <c r="K343" s="5" t="s">
        <v>105</v>
      </c>
      <c r="L343" s="6">
        <v>39207</v>
      </c>
    </row>
    <row r="344" spans="1:12" x14ac:dyDescent="0.25">
      <c r="A344" s="5">
        <v>343</v>
      </c>
      <c r="B344" s="5" t="s">
        <v>108</v>
      </c>
      <c r="C344" s="5" t="s">
        <v>75</v>
      </c>
      <c r="D344" s="5" t="s">
        <v>39</v>
      </c>
      <c r="E344" s="5" t="s">
        <v>109</v>
      </c>
      <c r="F344" s="5" t="s">
        <v>736</v>
      </c>
      <c r="G344" s="5">
        <v>7689392297</v>
      </c>
      <c r="H344" s="5" t="s">
        <v>587</v>
      </c>
      <c r="I344" s="5" t="s">
        <v>247</v>
      </c>
      <c r="J344" s="5" t="s">
        <v>80</v>
      </c>
      <c r="K344" s="5" t="s">
        <v>81</v>
      </c>
      <c r="L344" s="6">
        <v>39203</v>
      </c>
    </row>
    <row r="345" spans="1:12" x14ac:dyDescent="0.25">
      <c r="A345" s="5">
        <v>344</v>
      </c>
      <c r="B345" s="5" t="s">
        <v>151</v>
      </c>
      <c r="C345" s="5" t="s">
        <v>83</v>
      </c>
      <c r="D345" s="5" t="s">
        <v>39</v>
      </c>
      <c r="E345" s="5" t="s">
        <v>87</v>
      </c>
      <c r="F345" s="5" t="s">
        <v>761</v>
      </c>
      <c r="G345" s="5">
        <v>8235730774</v>
      </c>
      <c r="H345" s="5" t="s">
        <v>619</v>
      </c>
      <c r="I345" s="5" t="s">
        <v>247</v>
      </c>
      <c r="J345" s="5" t="s">
        <v>80</v>
      </c>
      <c r="K345" s="5" t="s">
        <v>90</v>
      </c>
      <c r="L345" s="6">
        <v>39194</v>
      </c>
    </row>
    <row r="346" spans="1:12" x14ac:dyDescent="0.25">
      <c r="A346" s="5">
        <v>345</v>
      </c>
      <c r="B346" s="5" t="s">
        <v>762</v>
      </c>
      <c r="C346" s="5" t="s">
        <v>83</v>
      </c>
      <c r="D346" s="5" t="s">
        <v>39</v>
      </c>
      <c r="E346" s="5" t="s">
        <v>92</v>
      </c>
      <c r="F346" s="5" t="s">
        <v>763</v>
      </c>
      <c r="G346" s="5">
        <v>9567619430</v>
      </c>
      <c r="H346" s="5" t="s">
        <v>764</v>
      </c>
      <c r="I346" s="5" t="s">
        <v>247</v>
      </c>
      <c r="J346" s="5" t="s">
        <v>80</v>
      </c>
      <c r="K346" s="5" t="s">
        <v>81</v>
      </c>
      <c r="L346" s="6">
        <v>39366</v>
      </c>
    </row>
    <row r="347" spans="1:12" x14ac:dyDescent="0.25">
      <c r="A347" s="5">
        <v>346</v>
      </c>
      <c r="B347" s="5" t="s">
        <v>113</v>
      </c>
      <c r="C347" s="5" t="s">
        <v>75</v>
      </c>
      <c r="D347" s="5" t="s">
        <v>39</v>
      </c>
      <c r="E347" s="5" t="s">
        <v>126</v>
      </c>
      <c r="F347" s="5" t="s">
        <v>753</v>
      </c>
      <c r="G347" s="5">
        <v>9950809328</v>
      </c>
      <c r="H347" s="5" t="s">
        <v>765</v>
      </c>
      <c r="I347" s="5" t="s">
        <v>247</v>
      </c>
      <c r="J347" s="5" t="s">
        <v>80</v>
      </c>
      <c r="K347" s="5" t="s">
        <v>90</v>
      </c>
      <c r="L347" s="6">
        <v>39402</v>
      </c>
    </row>
    <row r="348" spans="1:12" x14ac:dyDescent="0.25">
      <c r="A348" s="5">
        <v>347</v>
      </c>
      <c r="B348" s="5" t="s">
        <v>116</v>
      </c>
      <c r="C348" s="5" t="s">
        <v>83</v>
      </c>
      <c r="D348" s="5" t="s">
        <v>39</v>
      </c>
      <c r="E348" s="5" t="s">
        <v>135</v>
      </c>
      <c r="F348" s="5" t="s">
        <v>766</v>
      </c>
      <c r="G348" s="5">
        <v>8893334168</v>
      </c>
      <c r="H348" s="5" t="s">
        <v>767</v>
      </c>
      <c r="I348" s="5" t="s">
        <v>247</v>
      </c>
      <c r="J348" s="5" t="s">
        <v>112</v>
      </c>
      <c r="K348" s="5" t="s">
        <v>81</v>
      </c>
      <c r="L348" s="6">
        <v>39281</v>
      </c>
    </row>
    <row r="349" spans="1:12" x14ac:dyDescent="0.25">
      <c r="A349" s="5">
        <v>348</v>
      </c>
      <c r="B349" s="5" t="s">
        <v>113</v>
      </c>
      <c r="C349" s="5" t="s">
        <v>75</v>
      </c>
      <c r="D349" s="5" t="s">
        <v>39</v>
      </c>
      <c r="E349" s="5" t="s">
        <v>126</v>
      </c>
      <c r="F349" s="5" t="s">
        <v>753</v>
      </c>
      <c r="G349" s="5">
        <v>6329487698</v>
      </c>
      <c r="H349" s="5" t="s">
        <v>768</v>
      </c>
      <c r="I349" s="5" t="s">
        <v>247</v>
      </c>
      <c r="J349" s="5" t="s">
        <v>129</v>
      </c>
      <c r="K349" s="5" t="s">
        <v>90</v>
      </c>
      <c r="L349" s="6">
        <v>39154</v>
      </c>
    </row>
    <row r="350" spans="1:12" x14ac:dyDescent="0.25">
      <c r="A350" s="5">
        <v>349</v>
      </c>
      <c r="B350" s="5" t="s">
        <v>732</v>
      </c>
      <c r="C350" s="5" t="s">
        <v>83</v>
      </c>
      <c r="D350" s="5" t="s">
        <v>39</v>
      </c>
      <c r="E350" s="5" t="s">
        <v>106</v>
      </c>
      <c r="F350" s="5" t="s">
        <v>733</v>
      </c>
      <c r="G350" s="5">
        <v>6344080827</v>
      </c>
      <c r="H350" s="5" t="s">
        <v>574</v>
      </c>
      <c r="I350" s="5" t="s">
        <v>247</v>
      </c>
      <c r="J350" s="5" t="s">
        <v>159</v>
      </c>
      <c r="K350" s="5" t="s">
        <v>105</v>
      </c>
      <c r="L350" s="6">
        <v>39271</v>
      </c>
    </row>
    <row r="351" spans="1:12" x14ac:dyDescent="0.25">
      <c r="A351" s="5">
        <v>350</v>
      </c>
      <c r="B351" s="5" t="s">
        <v>218</v>
      </c>
      <c r="C351" s="5" t="s">
        <v>75</v>
      </c>
      <c r="D351" s="5" t="s">
        <v>39</v>
      </c>
      <c r="E351" s="5" t="s">
        <v>131</v>
      </c>
      <c r="F351" s="5" t="s">
        <v>769</v>
      </c>
      <c r="G351" s="5">
        <v>7136897815</v>
      </c>
      <c r="H351" s="5" t="s">
        <v>770</v>
      </c>
      <c r="I351" s="5" t="s">
        <v>247</v>
      </c>
      <c r="J351" s="5" t="s">
        <v>80</v>
      </c>
      <c r="K351" s="5" t="s">
        <v>105</v>
      </c>
      <c r="L351" s="6">
        <v>39360</v>
      </c>
    </row>
    <row r="352" spans="1:12" x14ac:dyDescent="0.25">
      <c r="A352" s="5">
        <v>351</v>
      </c>
      <c r="B352" s="5" t="s">
        <v>641</v>
      </c>
      <c r="C352" s="5" t="s">
        <v>83</v>
      </c>
      <c r="D352" s="5" t="s">
        <v>39</v>
      </c>
      <c r="E352" s="5" t="s">
        <v>87</v>
      </c>
      <c r="F352" s="5" t="s">
        <v>730</v>
      </c>
      <c r="G352" s="5">
        <v>7731225107</v>
      </c>
      <c r="H352" s="5" t="s">
        <v>603</v>
      </c>
      <c r="I352" s="5" t="s">
        <v>247</v>
      </c>
      <c r="J352" s="5" t="s">
        <v>80</v>
      </c>
      <c r="K352" s="5" t="s">
        <v>90</v>
      </c>
      <c r="L352" s="6">
        <v>39329</v>
      </c>
    </row>
    <row r="353" spans="1:12" x14ac:dyDescent="0.25">
      <c r="A353" s="5">
        <v>352</v>
      </c>
      <c r="B353" s="5" t="s">
        <v>732</v>
      </c>
      <c r="C353" s="5" t="s">
        <v>83</v>
      </c>
      <c r="D353" s="5" t="s">
        <v>39</v>
      </c>
      <c r="E353" s="5" t="s">
        <v>184</v>
      </c>
      <c r="F353" s="5" t="s">
        <v>733</v>
      </c>
      <c r="G353" s="5">
        <v>7846400908</v>
      </c>
      <c r="H353" s="5" t="s">
        <v>579</v>
      </c>
      <c r="I353" s="5" t="s">
        <v>247</v>
      </c>
      <c r="J353" s="5" t="s">
        <v>129</v>
      </c>
      <c r="K353" s="5" t="s">
        <v>90</v>
      </c>
      <c r="L353" s="6">
        <v>39249</v>
      </c>
    </row>
    <row r="354" spans="1:12" x14ac:dyDescent="0.25">
      <c r="A354" s="5">
        <v>353</v>
      </c>
      <c r="B354" s="5" t="s">
        <v>236</v>
      </c>
      <c r="C354" s="5" t="s">
        <v>75</v>
      </c>
      <c r="D354" s="5" t="s">
        <v>39</v>
      </c>
      <c r="E354" s="5" t="s">
        <v>135</v>
      </c>
      <c r="F354" s="5" t="s">
        <v>771</v>
      </c>
      <c r="G354" s="5">
        <v>8229555998</v>
      </c>
      <c r="H354" s="5" t="s">
        <v>772</v>
      </c>
      <c r="I354" s="5" t="s">
        <v>247</v>
      </c>
      <c r="J354" s="5" t="s">
        <v>80</v>
      </c>
      <c r="K354" s="5" t="s">
        <v>81</v>
      </c>
      <c r="L354" s="6">
        <v>39164</v>
      </c>
    </row>
    <row r="355" spans="1:12" x14ac:dyDescent="0.25">
      <c r="A355" s="5">
        <v>354</v>
      </c>
      <c r="B355" s="5" t="s">
        <v>748</v>
      </c>
      <c r="C355" s="5" t="s">
        <v>75</v>
      </c>
      <c r="D355" s="5" t="s">
        <v>39</v>
      </c>
      <c r="E355" s="5" t="s">
        <v>92</v>
      </c>
      <c r="F355" s="5" t="s">
        <v>749</v>
      </c>
      <c r="G355" s="5">
        <v>7325932499</v>
      </c>
      <c r="H355" s="5" t="s">
        <v>752</v>
      </c>
      <c r="I355" s="5" t="s">
        <v>247</v>
      </c>
      <c r="J355" s="5" t="s">
        <v>129</v>
      </c>
      <c r="K355" s="5" t="s">
        <v>81</v>
      </c>
      <c r="L355" s="6">
        <v>39209</v>
      </c>
    </row>
    <row r="356" spans="1:12" x14ac:dyDescent="0.25">
      <c r="A356" s="5">
        <v>355</v>
      </c>
      <c r="B356" s="5" t="s">
        <v>177</v>
      </c>
      <c r="C356" s="5" t="s">
        <v>83</v>
      </c>
      <c r="D356" s="5" t="s">
        <v>39</v>
      </c>
      <c r="E356" s="5" t="s">
        <v>109</v>
      </c>
      <c r="F356" s="5" t="s">
        <v>773</v>
      </c>
      <c r="G356" s="5">
        <v>9553646853</v>
      </c>
      <c r="H356" s="5" t="s">
        <v>774</v>
      </c>
      <c r="I356" s="5" t="s">
        <v>247</v>
      </c>
      <c r="J356" s="5" t="s">
        <v>129</v>
      </c>
      <c r="K356" s="5" t="s">
        <v>81</v>
      </c>
      <c r="L356" s="6">
        <v>39418</v>
      </c>
    </row>
    <row r="357" spans="1:12" x14ac:dyDescent="0.25">
      <c r="A357" s="5">
        <v>356</v>
      </c>
      <c r="B357" s="5" t="s">
        <v>491</v>
      </c>
      <c r="C357" s="5" t="s">
        <v>75</v>
      </c>
      <c r="D357" s="5" t="s">
        <v>39</v>
      </c>
      <c r="E357" s="5" t="s">
        <v>184</v>
      </c>
      <c r="F357" s="5" t="s">
        <v>775</v>
      </c>
      <c r="G357" s="5">
        <v>9970944221</v>
      </c>
      <c r="H357" s="5" t="s">
        <v>776</v>
      </c>
      <c r="I357" s="5" t="s">
        <v>247</v>
      </c>
      <c r="J357" s="5" t="s">
        <v>80</v>
      </c>
      <c r="K357" s="5" t="s">
        <v>90</v>
      </c>
      <c r="L357" s="6">
        <v>39095</v>
      </c>
    </row>
    <row r="358" spans="1:12" x14ac:dyDescent="0.25">
      <c r="A358" s="5">
        <v>357</v>
      </c>
      <c r="B358" s="5" t="s">
        <v>732</v>
      </c>
      <c r="C358" s="5" t="s">
        <v>83</v>
      </c>
      <c r="D358" s="5" t="s">
        <v>39</v>
      </c>
      <c r="E358" s="5" t="s">
        <v>76</v>
      </c>
      <c r="F358" s="5" t="s">
        <v>733</v>
      </c>
      <c r="G358" s="5">
        <v>7981977999</v>
      </c>
      <c r="H358" s="5" t="s">
        <v>614</v>
      </c>
      <c r="I358" s="5" t="s">
        <v>247</v>
      </c>
      <c r="J358" s="5" t="s">
        <v>112</v>
      </c>
      <c r="K358" s="5" t="s">
        <v>81</v>
      </c>
      <c r="L358" s="6">
        <v>39148</v>
      </c>
    </row>
    <row r="359" spans="1:12" x14ac:dyDescent="0.25">
      <c r="A359" s="5">
        <v>358</v>
      </c>
      <c r="B359" s="5" t="s">
        <v>428</v>
      </c>
      <c r="C359" s="5" t="s">
        <v>83</v>
      </c>
      <c r="D359" s="5" t="s">
        <v>27</v>
      </c>
      <c r="E359" s="5" t="s">
        <v>268</v>
      </c>
      <c r="F359" s="5" t="s">
        <v>777</v>
      </c>
      <c r="G359" s="5">
        <v>9265798433</v>
      </c>
      <c r="H359" s="5" t="s">
        <v>778</v>
      </c>
      <c r="I359" s="5" t="s">
        <v>79</v>
      </c>
      <c r="J359" s="5" t="s">
        <v>80</v>
      </c>
      <c r="K359" s="5" t="s">
        <v>271</v>
      </c>
      <c r="L359" s="6">
        <v>38085</v>
      </c>
    </row>
    <row r="360" spans="1:12" x14ac:dyDescent="0.25">
      <c r="A360" s="5">
        <v>359</v>
      </c>
      <c r="B360" s="5" t="s">
        <v>177</v>
      </c>
      <c r="C360" s="5" t="s">
        <v>75</v>
      </c>
      <c r="D360" s="5" t="s">
        <v>27</v>
      </c>
      <c r="E360" s="5" t="s">
        <v>102</v>
      </c>
      <c r="F360" s="5" t="s">
        <v>779</v>
      </c>
      <c r="G360" s="5">
        <v>6130150374</v>
      </c>
      <c r="H360" s="5" t="s">
        <v>780</v>
      </c>
      <c r="I360" s="5" t="s">
        <v>79</v>
      </c>
      <c r="J360" s="5" t="s">
        <v>80</v>
      </c>
      <c r="K360" s="5" t="s">
        <v>105</v>
      </c>
      <c r="L360" s="6">
        <v>38083</v>
      </c>
    </row>
    <row r="361" spans="1:12" x14ac:dyDescent="0.25">
      <c r="A361" s="5">
        <v>360</v>
      </c>
      <c r="B361" s="5" t="s">
        <v>259</v>
      </c>
      <c r="C361" s="5" t="s">
        <v>83</v>
      </c>
      <c r="D361" s="5" t="s">
        <v>27</v>
      </c>
      <c r="E361" s="5" t="s">
        <v>308</v>
      </c>
      <c r="F361" s="5" t="s">
        <v>781</v>
      </c>
      <c r="G361" s="5">
        <v>8127018326</v>
      </c>
      <c r="H361" s="5" t="s">
        <v>782</v>
      </c>
      <c r="I361" s="5" t="s">
        <v>79</v>
      </c>
      <c r="J361" s="5" t="s">
        <v>80</v>
      </c>
      <c r="K361" s="5" t="s">
        <v>288</v>
      </c>
      <c r="L361" s="6">
        <v>38255</v>
      </c>
    </row>
    <row r="362" spans="1:12" x14ac:dyDescent="0.25">
      <c r="A362" s="5">
        <v>361</v>
      </c>
      <c r="B362" s="5" t="s">
        <v>203</v>
      </c>
      <c r="C362" s="5" t="s">
        <v>83</v>
      </c>
      <c r="D362" s="5" t="s">
        <v>27</v>
      </c>
      <c r="E362" s="5" t="s">
        <v>285</v>
      </c>
      <c r="F362" s="5" t="s">
        <v>783</v>
      </c>
      <c r="G362" s="5">
        <v>7044871184</v>
      </c>
      <c r="H362" s="5" t="s">
        <v>784</v>
      </c>
      <c r="I362" s="5" t="s">
        <v>79</v>
      </c>
      <c r="J362" s="5" t="s">
        <v>80</v>
      </c>
      <c r="K362" s="5" t="s">
        <v>288</v>
      </c>
      <c r="L362" s="6">
        <v>38186</v>
      </c>
    </row>
    <row r="363" spans="1:12" x14ac:dyDescent="0.25">
      <c r="A363" s="5">
        <v>362</v>
      </c>
      <c r="B363" s="5" t="s">
        <v>236</v>
      </c>
      <c r="C363" s="5" t="s">
        <v>83</v>
      </c>
      <c r="D363" s="5" t="s">
        <v>27</v>
      </c>
      <c r="E363" s="5" t="s">
        <v>314</v>
      </c>
      <c r="F363" s="5" t="s">
        <v>785</v>
      </c>
      <c r="G363" s="5">
        <v>7624343020</v>
      </c>
      <c r="H363" s="5" t="s">
        <v>786</v>
      </c>
      <c r="I363" s="5" t="s">
        <v>79</v>
      </c>
      <c r="J363" s="5" t="s">
        <v>80</v>
      </c>
      <c r="K363" s="5" t="s">
        <v>275</v>
      </c>
      <c r="L363" s="6">
        <v>37992</v>
      </c>
    </row>
    <row r="364" spans="1:12" x14ac:dyDescent="0.25">
      <c r="A364" s="5">
        <v>363</v>
      </c>
      <c r="B364" s="5" t="s">
        <v>428</v>
      </c>
      <c r="C364" s="5" t="s">
        <v>83</v>
      </c>
      <c r="D364" s="5" t="s">
        <v>27</v>
      </c>
      <c r="E364" s="5" t="s">
        <v>292</v>
      </c>
      <c r="F364" s="5" t="s">
        <v>777</v>
      </c>
      <c r="G364" s="5">
        <v>6306753359</v>
      </c>
      <c r="H364" s="5" t="s">
        <v>787</v>
      </c>
      <c r="I364" s="5" t="s">
        <v>79</v>
      </c>
      <c r="J364" s="5" t="s">
        <v>80</v>
      </c>
      <c r="K364" s="5" t="s">
        <v>288</v>
      </c>
      <c r="L364" s="6">
        <v>38082</v>
      </c>
    </row>
    <row r="365" spans="1:12" x14ac:dyDescent="0.25">
      <c r="A365" s="5">
        <v>364</v>
      </c>
      <c r="B365" s="5" t="s">
        <v>134</v>
      </c>
      <c r="C365" s="5" t="s">
        <v>83</v>
      </c>
      <c r="D365" s="5" t="s">
        <v>27</v>
      </c>
      <c r="E365" s="5" t="s">
        <v>314</v>
      </c>
      <c r="F365" s="5" t="s">
        <v>788</v>
      </c>
      <c r="G365" s="5">
        <v>7641211738</v>
      </c>
      <c r="H365" s="5" t="s">
        <v>789</v>
      </c>
      <c r="I365" s="5" t="s">
        <v>79</v>
      </c>
      <c r="J365" s="5" t="s">
        <v>80</v>
      </c>
      <c r="K365" s="5" t="s">
        <v>275</v>
      </c>
      <c r="L365" s="6">
        <v>38188</v>
      </c>
    </row>
    <row r="366" spans="1:12" x14ac:dyDescent="0.25">
      <c r="A366" s="5">
        <v>365</v>
      </c>
      <c r="B366" s="5" t="s">
        <v>198</v>
      </c>
      <c r="C366" s="5" t="s">
        <v>83</v>
      </c>
      <c r="D366" s="5" t="s">
        <v>27</v>
      </c>
      <c r="E366" s="5" t="s">
        <v>306</v>
      </c>
      <c r="F366" s="5" t="s">
        <v>790</v>
      </c>
      <c r="G366" s="5">
        <v>7717635230</v>
      </c>
      <c r="H366" s="5" t="s">
        <v>791</v>
      </c>
      <c r="I366" s="5" t="s">
        <v>79</v>
      </c>
      <c r="J366" s="5" t="s">
        <v>80</v>
      </c>
      <c r="K366" s="5" t="s">
        <v>275</v>
      </c>
      <c r="L366" s="6">
        <v>37999</v>
      </c>
    </row>
    <row r="367" spans="1:12" x14ac:dyDescent="0.25">
      <c r="A367" s="5">
        <v>366</v>
      </c>
      <c r="B367" s="5" t="s">
        <v>138</v>
      </c>
      <c r="C367" s="5" t="s">
        <v>83</v>
      </c>
      <c r="D367" s="5" t="s">
        <v>27</v>
      </c>
      <c r="E367" s="5" t="s">
        <v>106</v>
      </c>
      <c r="F367" s="5" t="s">
        <v>792</v>
      </c>
      <c r="G367" s="5">
        <v>8528749327</v>
      </c>
      <c r="H367" s="5" t="s">
        <v>793</v>
      </c>
      <c r="I367" s="5" t="s">
        <v>79</v>
      </c>
      <c r="J367" s="5" t="s">
        <v>112</v>
      </c>
      <c r="K367" s="5" t="s">
        <v>105</v>
      </c>
      <c r="L367" s="6">
        <v>38266</v>
      </c>
    </row>
    <row r="368" spans="1:12" x14ac:dyDescent="0.25">
      <c r="A368" s="5">
        <v>367</v>
      </c>
      <c r="B368" s="5" t="s">
        <v>600</v>
      </c>
      <c r="C368" s="5" t="s">
        <v>83</v>
      </c>
      <c r="D368" s="5" t="s">
        <v>27</v>
      </c>
      <c r="E368" s="5" t="s">
        <v>351</v>
      </c>
      <c r="F368" s="5" t="s">
        <v>794</v>
      </c>
      <c r="G368" s="5">
        <v>9439879883</v>
      </c>
      <c r="H368" s="5" t="s">
        <v>795</v>
      </c>
      <c r="I368" s="5" t="s">
        <v>79</v>
      </c>
      <c r="J368" s="5" t="s">
        <v>80</v>
      </c>
      <c r="K368" s="5" t="s">
        <v>288</v>
      </c>
      <c r="L368" s="6">
        <v>38125</v>
      </c>
    </row>
    <row r="369" spans="1:12" x14ac:dyDescent="0.25">
      <c r="A369" s="5">
        <v>368</v>
      </c>
      <c r="B369" s="5" t="s">
        <v>174</v>
      </c>
      <c r="C369" s="5" t="s">
        <v>83</v>
      </c>
      <c r="D369" s="5" t="s">
        <v>27</v>
      </c>
      <c r="E369" s="5" t="s">
        <v>308</v>
      </c>
      <c r="F369" s="5" t="s">
        <v>796</v>
      </c>
      <c r="G369" s="5">
        <v>7975581242</v>
      </c>
      <c r="H369" s="5" t="s">
        <v>797</v>
      </c>
      <c r="I369" s="5" t="s">
        <v>79</v>
      </c>
      <c r="J369" s="5" t="s">
        <v>80</v>
      </c>
      <c r="K369" s="5" t="s">
        <v>288</v>
      </c>
      <c r="L369" s="6">
        <v>38195</v>
      </c>
    </row>
    <row r="370" spans="1:12" x14ac:dyDescent="0.25">
      <c r="A370" s="5">
        <v>369</v>
      </c>
      <c r="B370" s="5" t="s">
        <v>457</v>
      </c>
      <c r="C370" s="5" t="s">
        <v>75</v>
      </c>
      <c r="D370" s="5" t="s">
        <v>27</v>
      </c>
      <c r="E370" s="5" t="s">
        <v>331</v>
      </c>
      <c r="F370" s="5" t="s">
        <v>798</v>
      </c>
      <c r="G370" s="5">
        <v>6576574689</v>
      </c>
      <c r="H370" s="5" t="s">
        <v>799</v>
      </c>
      <c r="I370" s="5" t="s">
        <v>79</v>
      </c>
      <c r="J370" s="5" t="s">
        <v>80</v>
      </c>
      <c r="K370" s="5" t="s">
        <v>271</v>
      </c>
      <c r="L370" s="6">
        <v>38045</v>
      </c>
    </row>
    <row r="371" spans="1:12" x14ac:dyDescent="0.25">
      <c r="A371" s="5">
        <v>370</v>
      </c>
      <c r="B371" s="5" t="s">
        <v>357</v>
      </c>
      <c r="C371" s="5" t="s">
        <v>83</v>
      </c>
      <c r="D371" s="5" t="s">
        <v>27</v>
      </c>
      <c r="E371" s="5" t="s">
        <v>106</v>
      </c>
      <c r="F371" s="5" t="s">
        <v>800</v>
      </c>
      <c r="G371" s="5">
        <v>9514130769</v>
      </c>
      <c r="H371" s="5" t="s">
        <v>778</v>
      </c>
      <c r="I371" s="5" t="s">
        <v>79</v>
      </c>
      <c r="J371" s="5" t="s">
        <v>80</v>
      </c>
      <c r="K371" s="5" t="s">
        <v>105</v>
      </c>
      <c r="L371" s="6">
        <v>38185</v>
      </c>
    </row>
    <row r="372" spans="1:12" x14ac:dyDescent="0.25">
      <c r="A372" s="5">
        <v>371</v>
      </c>
      <c r="B372" s="5" t="s">
        <v>230</v>
      </c>
      <c r="C372" s="5" t="s">
        <v>83</v>
      </c>
      <c r="D372" s="5" t="s">
        <v>27</v>
      </c>
      <c r="E372" s="5" t="s">
        <v>292</v>
      </c>
      <c r="F372" s="5" t="s">
        <v>801</v>
      </c>
      <c r="G372" s="5">
        <v>6330925855</v>
      </c>
      <c r="H372" s="5" t="s">
        <v>802</v>
      </c>
      <c r="I372" s="5" t="s">
        <v>79</v>
      </c>
      <c r="J372" s="5" t="s">
        <v>80</v>
      </c>
      <c r="K372" s="5" t="s">
        <v>288</v>
      </c>
      <c r="L372" s="6">
        <v>38035</v>
      </c>
    </row>
    <row r="373" spans="1:12" x14ac:dyDescent="0.25">
      <c r="A373" s="5">
        <v>372</v>
      </c>
      <c r="B373" s="5" t="s">
        <v>6</v>
      </c>
      <c r="C373" s="5" t="s">
        <v>75</v>
      </c>
      <c r="D373" s="5" t="s">
        <v>27</v>
      </c>
      <c r="E373" s="5" t="s">
        <v>268</v>
      </c>
      <c r="F373" s="5" t="s">
        <v>803</v>
      </c>
      <c r="G373" s="5">
        <v>6590310886</v>
      </c>
      <c r="H373" s="5" t="s">
        <v>804</v>
      </c>
      <c r="I373" s="5" t="s">
        <v>79</v>
      </c>
      <c r="J373" s="5" t="s">
        <v>80</v>
      </c>
      <c r="K373" s="5" t="s">
        <v>271</v>
      </c>
      <c r="L373" s="6">
        <v>38116</v>
      </c>
    </row>
    <row r="374" spans="1:12" x14ac:dyDescent="0.25">
      <c r="A374" s="5">
        <v>373</v>
      </c>
      <c r="B374" s="5" t="s">
        <v>311</v>
      </c>
      <c r="C374" s="5" t="s">
        <v>75</v>
      </c>
      <c r="D374" s="5" t="s">
        <v>27</v>
      </c>
      <c r="E374" s="5" t="s">
        <v>102</v>
      </c>
      <c r="F374" s="5" t="s">
        <v>805</v>
      </c>
      <c r="G374" s="5">
        <v>9945242456</v>
      </c>
      <c r="H374" s="5" t="s">
        <v>806</v>
      </c>
      <c r="I374" s="5" t="s">
        <v>158</v>
      </c>
      <c r="J374" s="5" t="s">
        <v>80</v>
      </c>
      <c r="K374" s="5" t="s">
        <v>105</v>
      </c>
      <c r="L374" s="6">
        <v>38500</v>
      </c>
    </row>
    <row r="375" spans="1:12" x14ac:dyDescent="0.25">
      <c r="A375" s="5">
        <v>374</v>
      </c>
      <c r="B375" s="5" t="s">
        <v>262</v>
      </c>
      <c r="C375" s="5" t="s">
        <v>75</v>
      </c>
      <c r="D375" s="5" t="s">
        <v>27</v>
      </c>
      <c r="E375" s="5" t="s">
        <v>331</v>
      </c>
      <c r="F375" s="5" t="s">
        <v>807</v>
      </c>
      <c r="G375" s="5">
        <v>6496068470</v>
      </c>
      <c r="H375" s="5" t="s">
        <v>808</v>
      </c>
      <c r="I375" s="5" t="s">
        <v>158</v>
      </c>
      <c r="J375" s="5" t="s">
        <v>112</v>
      </c>
      <c r="K375" s="5" t="s">
        <v>271</v>
      </c>
      <c r="L375" s="6">
        <v>38696</v>
      </c>
    </row>
    <row r="376" spans="1:12" x14ac:dyDescent="0.25">
      <c r="A376" s="5">
        <v>375</v>
      </c>
      <c r="B376" s="5" t="s">
        <v>230</v>
      </c>
      <c r="C376" s="5" t="s">
        <v>83</v>
      </c>
      <c r="D376" s="5" t="s">
        <v>27</v>
      </c>
      <c r="E376" s="5" t="s">
        <v>351</v>
      </c>
      <c r="F376" s="5" t="s">
        <v>801</v>
      </c>
      <c r="G376" s="5">
        <v>6656347213</v>
      </c>
      <c r="H376" s="5" t="s">
        <v>809</v>
      </c>
      <c r="I376" s="5" t="s">
        <v>158</v>
      </c>
      <c r="J376" s="5" t="s">
        <v>80</v>
      </c>
      <c r="K376" s="5" t="s">
        <v>288</v>
      </c>
      <c r="L376" s="6">
        <v>38504</v>
      </c>
    </row>
    <row r="377" spans="1:12" x14ac:dyDescent="0.25">
      <c r="A377" s="5">
        <v>376</v>
      </c>
      <c r="B377" s="5" t="s">
        <v>550</v>
      </c>
      <c r="C377" s="5" t="s">
        <v>83</v>
      </c>
      <c r="D377" s="5" t="s">
        <v>27</v>
      </c>
      <c r="E377" s="5" t="s">
        <v>351</v>
      </c>
      <c r="F377" s="5" t="s">
        <v>810</v>
      </c>
      <c r="G377" s="5">
        <v>6743309201</v>
      </c>
      <c r="H377" s="5" t="s">
        <v>811</v>
      </c>
      <c r="I377" s="5" t="s">
        <v>158</v>
      </c>
      <c r="J377" s="5" t="s">
        <v>80</v>
      </c>
      <c r="K377" s="5" t="s">
        <v>288</v>
      </c>
      <c r="L377" s="6">
        <v>38571</v>
      </c>
    </row>
    <row r="378" spans="1:12" x14ac:dyDescent="0.25">
      <c r="A378" s="5">
        <v>377</v>
      </c>
      <c r="B378" s="5" t="s">
        <v>239</v>
      </c>
      <c r="C378" s="5" t="s">
        <v>75</v>
      </c>
      <c r="D378" s="5" t="s">
        <v>27</v>
      </c>
      <c r="E378" s="5" t="s">
        <v>272</v>
      </c>
      <c r="F378" s="5" t="s">
        <v>812</v>
      </c>
      <c r="G378" s="5">
        <v>6638133461</v>
      </c>
      <c r="H378" s="5" t="s">
        <v>813</v>
      </c>
      <c r="I378" s="5" t="s">
        <v>158</v>
      </c>
      <c r="J378" s="5" t="s">
        <v>80</v>
      </c>
      <c r="K378" s="5" t="s">
        <v>275</v>
      </c>
      <c r="L378" s="6">
        <v>38571</v>
      </c>
    </row>
    <row r="379" spans="1:12" x14ac:dyDescent="0.25">
      <c r="A379" s="5">
        <v>378</v>
      </c>
      <c r="B379" s="5" t="s">
        <v>317</v>
      </c>
      <c r="C379" s="5" t="s">
        <v>83</v>
      </c>
      <c r="D379" s="5" t="s">
        <v>27</v>
      </c>
      <c r="E379" s="5" t="s">
        <v>306</v>
      </c>
      <c r="F379" s="5" t="s">
        <v>814</v>
      </c>
      <c r="G379" s="5">
        <v>7049844717</v>
      </c>
      <c r="H379" s="5" t="s">
        <v>815</v>
      </c>
      <c r="I379" s="5" t="s">
        <v>158</v>
      </c>
      <c r="J379" s="5" t="s">
        <v>129</v>
      </c>
      <c r="K379" s="5" t="s">
        <v>275</v>
      </c>
      <c r="L379" s="6">
        <v>38420</v>
      </c>
    </row>
    <row r="380" spans="1:12" x14ac:dyDescent="0.25">
      <c r="A380" s="5">
        <v>379</v>
      </c>
      <c r="B380" s="5" t="s">
        <v>265</v>
      </c>
      <c r="C380" s="5" t="s">
        <v>83</v>
      </c>
      <c r="D380" s="5" t="s">
        <v>27</v>
      </c>
      <c r="E380" s="5" t="s">
        <v>308</v>
      </c>
      <c r="F380" s="5" t="s">
        <v>816</v>
      </c>
      <c r="G380" s="5">
        <v>6267270451</v>
      </c>
      <c r="H380" s="5" t="s">
        <v>817</v>
      </c>
      <c r="I380" s="5" t="s">
        <v>158</v>
      </c>
      <c r="J380" s="5" t="s">
        <v>80</v>
      </c>
      <c r="K380" s="5" t="s">
        <v>288</v>
      </c>
      <c r="L380" s="6">
        <v>38414</v>
      </c>
    </row>
    <row r="381" spans="1:12" x14ac:dyDescent="0.25">
      <c r="A381" s="5">
        <v>380</v>
      </c>
      <c r="B381" s="5" t="s">
        <v>113</v>
      </c>
      <c r="C381" s="5" t="s">
        <v>83</v>
      </c>
      <c r="D381" s="5" t="s">
        <v>27</v>
      </c>
      <c r="E381" s="5" t="s">
        <v>292</v>
      </c>
      <c r="F381" s="5" t="s">
        <v>818</v>
      </c>
      <c r="G381" s="5">
        <v>8485441853</v>
      </c>
      <c r="H381" s="5" t="s">
        <v>819</v>
      </c>
      <c r="I381" s="5" t="s">
        <v>158</v>
      </c>
      <c r="J381" s="5" t="s">
        <v>80</v>
      </c>
      <c r="K381" s="5" t="s">
        <v>288</v>
      </c>
      <c r="L381" s="6">
        <v>38660</v>
      </c>
    </row>
    <row r="382" spans="1:12" x14ac:dyDescent="0.25">
      <c r="A382" s="5">
        <v>381</v>
      </c>
      <c r="B382" s="5" t="s">
        <v>748</v>
      </c>
      <c r="C382" s="5" t="s">
        <v>75</v>
      </c>
      <c r="D382" s="5" t="s">
        <v>27</v>
      </c>
      <c r="E382" s="5" t="s">
        <v>314</v>
      </c>
      <c r="F382" s="5" t="s">
        <v>820</v>
      </c>
      <c r="G382" s="5">
        <v>8632193767</v>
      </c>
      <c r="H382" s="5" t="s">
        <v>821</v>
      </c>
      <c r="I382" s="5" t="s">
        <v>158</v>
      </c>
      <c r="J382" s="5" t="s">
        <v>80</v>
      </c>
      <c r="K382" s="5" t="s">
        <v>275</v>
      </c>
      <c r="L382" s="6">
        <v>38616</v>
      </c>
    </row>
    <row r="383" spans="1:12" x14ac:dyDescent="0.25">
      <c r="A383" s="5">
        <v>382</v>
      </c>
      <c r="B383" s="5" t="s">
        <v>393</v>
      </c>
      <c r="C383" s="5" t="s">
        <v>83</v>
      </c>
      <c r="D383" s="5" t="s">
        <v>27</v>
      </c>
      <c r="E383" s="5" t="s">
        <v>289</v>
      </c>
      <c r="F383" s="5" t="s">
        <v>822</v>
      </c>
      <c r="G383" s="5">
        <v>7987433452</v>
      </c>
      <c r="H383" s="5" t="s">
        <v>823</v>
      </c>
      <c r="I383" s="5" t="s">
        <v>158</v>
      </c>
      <c r="J383" s="5" t="s">
        <v>80</v>
      </c>
      <c r="K383" s="5" t="s">
        <v>271</v>
      </c>
      <c r="L383" s="6">
        <v>38461</v>
      </c>
    </row>
    <row r="384" spans="1:12" x14ac:dyDescent="0.25">
      <c r="A384" s="5">
        <v>383</v>
      </c>
      <c r="B384" s="5" t="s">
        <v>233</v>
      </c>
      <c r="C384" s="5" t="s">
        <v>83</v>
      </c>
      <c r="D384" s="5" t="s">
        <v>27</v>
      </c>
      <c r="E384" s="5" t="s">
        <v>331</v>
      </c>
      <c r="F384" s="5" t="s">
        <v>824</v>
      </c>
      <c r="G384" s="5">
        <v>7516977595</v>
      </c>
      <c r="H384" s="5" t="s">
        <v>825</v>
      </c>
      <c r="I384" s="5" t="s">
        <v>158</v>
      </c>
      <c r="J384" s="5" t="s">
        <v>80</v>
      </c>
      <c r="K384" s="5" t="s">
        <v>271</v>
      </c>
      <c r="L384" s="6">
        <v>38523</v>
      </c>
    </row>
    <row r="385" spans="1:12" x14ac:dyDescent="0.25">
      <c r="A385" s="5">
        <v>384</v>
      </c>
      <c r="B385" s="5" t="s">
        <v>8</v>
      </c>
      <c r="C385" s="5" t="s">
        <v>75</v>
      </c>
      <c r="D385" s="5" t="s">
        <v>27</v>
      </c>
      <c r="E385" s="5" t="s">
        <v>102</v>
      </c>
      <c r="F385" s="5" t="s">
        <v>826</v>
      </c>
      <c r="G385" s="5">
        <v>6451208336</v>
      </c>
      <c r="H385" s="5" t="s">
        <v>827</v>
      </c>
      <c r="I385" s="5" t="s">
        <v>158</v>
      </c>
      <c r="J385" s="5" t="s">
        <v>112</v>
      </c>
      <c r="K385" s="5" t="s">
        <v>105</v>
      </c>
      <c r="L385" s="6">
        <v>38376</v>
      </c>
    </row>
    <row r="386" spans="1:12" x14ac:dyDescent="0.25">
      <c r="A386" s="5">
        <v>385</v>
      </c>
      <c r="B386" s="5" t="s">
        <v>233</v>
      </c>
      <c r="C386" s="5" t="s">
        <v>75</v>
      </c>
      <c r="D386" s="5" t="s">
        <v>27</v>
      </c>
      <c r="E386" s="5" t="s">
        <v>351</v>
      </c>
      <c r="F386" s="5" t="s">
        <v>824</v>
      </c>
      <c r="G386" s="5">
        <v>7722950506</v>
      </c>
      <c r="H386" s="5" t="s">
        <v>828</v>
      </c>
      <c r="I386" s="5" t="s">
        <v>158</v>
      </c>
      <c r="J386" s="5" t="s">
        <v>129</v>
      </c>
      <c r="K386" s="5" t="s">
        <v>288</v>
      </c>
      <c r="L386" s="6">
        <v>38527</v>
      </c>
    </row>
    <row r="387" spans="1:12" x14ac:dyDescent="0.25">
      <c r="A387" s="5">
        <v>386</v>
      </c>
      <c r="B387" s="5" t="s">
        <v>311</v>
      </c>
      <c r="C387" s="5" t="s">
        <v>75</v>
      </c>
      <c r="D387" s="5" t="s">
        <v>27</v>
      </c>
      <c r="E387" s="5" t="s">
        <v>292</v>
      </c>
      <c r="F387" s="5" t="s">
        <v>805</v>
      </c>
      <c r="G387" s="5">
        <v>7969875634</v>
      </c>
      <c r="H387" s="5" t="s">
        <v>829</v>
      </c>
      <c r="I387" s="5" t="s">
        <v>158</v>
      </c>
      <c r="J387" s="5" t="s">
        <v>80</v>
      </c>
      <c r="K387" s="5" t="s">
        <v>288</v>
      </c>
      <c r="L387" s="6">
        <v>38453</v>
      </c>
    </row>
    <row r="388" spans="1:12" x14ac:dyDescent="0.25">
      <c r="A388" s="5">
        <v>387</v>
      </c>
      <c r="B388" s="5" t="s">
        <v>82</v>
      </c>
      <c r="C388" s="5" t="s">
        <v>83</v>
      </c>
      <c r="D388" s="5" t="s">
        <v>27</v>
      </c>
      <c r="E388" s="5" t="s">
        <v>314</v>
      </c>
      <c r="F388" s="5" t="s">
        <v>830</v>
      </c>
      <c r="G388" s="5">
        <v>9823428437</v>
      </c>
      <c r="H388" s="5" t="s">
        <v>831</v>
      </c>
      <c r="I388" s="5" t="s">
        <v>158</v>
      </c>
      <c r="J388" s="5" t="s">
        <v>159</v>
      </c>
      <c r="K388" s="5" t="s">
        <v>275</v>
      </c>
      <c r="L388" s="6">
        <v>38661</v>
      </c>
    </row>
    <row r="389" spans="1:12" x14ac:dyDescent="0.25">
      <c r="A389" s="5">
        <v>388</v>
      </c>
      <c r="B389" s="5" t="s">
        <v>505</v>
      </c>
      <c r="C389" s="5" t="s">
        <v>83</v>
      </c>
      <c r="D389" s="5" t="s">
        <v>27</v>
      </c>
      <c r="E389" s="5" t="s">
        <v>268</v>
      </c>
      <c r="F389" s="5" t="s">
        <v>832</v>
      </c>
      <c r="G389" s="5">
        <v>6080194693</v>
      </c>
      <c r="H389" s="5" t="s">
        <v>833</v>
      </c>
      <c r="I389" s="5" t="s">
        <v>158</v>
      </c>
      <c r="J389" s="5" t="s">
        <v>112</v>
      </c>
      <c r="K389" s="5" t="s">
        <v>271</v>
      </c>
      <c r="L389" s="6">
        <v>38553</v>
      </c>
    </row>
    <row r="390" spans="1:12" x14ac:dyDescent="0.25">
      <c r="A390" s="5">
        <v>389</v>
      </c>
      <c r="B390" s="5" t="s">
        <v>141</v>
      </c>
      <c r="C390" s="5" t="s">
        <v>83</v>
      </c>
      <c r="D390" s="5" t="s">
        <v>27</v>
      </c>
      <c r="E390" s="5" t="s">
        <v>289</v>
      </c>
      <c r="F390" s="5" t="s">
        <v>834</v>
      </c>
      <c r="G390" s="5">
        <v>6484528098</v>
      </c>
      <c r="H390" s="5" t="s">
        <v>835</v>
      </c>
      <c r="I390" s="5" t="s">
        <v>206</v>
      </c>
      <c r="J390" s="5" t="s">
        <v>112</v>
      </c>
      <c r="K390" s="5" t="s">
        <v>271</v>
      </c>
      <c r="L390" s="6">
        <v>38905</v>
      </c>
    </row>
    <row r="391" spans="1:12" x14ac:dyDescent="0.25">
      <c r="A391" s="5">
        <v>390</v>
      </c>
      <c r="B391" s="5" t="s">
        <v>406</v>
      </c>
      <c r="C391" s="5" t="s">
        <v>83</v>
      </c>
      <c r="D391" s="5" t="s">
        <v>27</v>
      </c>
      <c r="E391" s="5" t="s">
        <v>285</v>
      </c>
      <c r="F391" s="5" t="s">
        <v>836</v>
      </c>
      <c r="G391" s="5">
        <v>9488598904</v>
      </c>
      <c r="H391" s="5" t="s">
        <v>837</v>
      </c>
      <c r="I391" s="5" t="s">
        <v>206</v>
      </c>
      <c r="J391" s="5" t="s">
        <v>80</v>
      </c>
      <c r="K391" s="5" t="s">
        <v>288</v>
      </c>
      <c r="L391" s="6">
        <v>39040</v>
      </c>
    </row>
    <row r="392" spans="1:12" x14ac:dyDescent="0.25">
      <c r="A392" s="5">
        <v>391</v>
      </c>
      <c r="B392" s="5" t="s">
        <v>230</v>
      </c>
      <c r="C392" s="5" t="s">
        <v>75</v>
      </c>
      <c r="D392" s="5" t="s">
        <v>27</v>
      </c>
      <c r="E392" s="5" t="s">
        <v>306</v>
      </c>
      <c r="F392" s="5" t="s">
        <v>801</v>
      </c>
      <c r="G392" s="5">
        <v>7625294378</v>
      </c>
      <c r="H392" s="5" t="s">
        <v>838</v>
      </c>
      <c r="I392" s="5" t="s">
        <v>206</v>
      </c>
      <c r="J392" s="5" t="s">
        <v>80</v>
      </c>
      <c r="K392" s="5" t="s">
        <v>275</v>
      </c>
      <c r="L392" s="6">
        <v>39018</v>
      </c>
    </row>
    <row r="393" spans="1:12" x14ac:dyDescent="0.25">
      <c r="A393" s="5">
        <v>392</v>
      </c>
      <c r="B393" s="5" t="s">
        <v>141</v>
      </c>
      <c r="C393" s="5" t="s">
        <v>83</v>
      </c>
      <c r="D393" s="5" t="s">
        <v>27</v>
      </c>
      <c r="E393" s="5" t="s">
        <v>131</v>
      </c>
      <c r="F393" s="5" t="s">
        <v>834</v>
      </c>
      <c r="G393" s="5">
        <v>8068687430</v>
      </c>
      <c r="H393" s="5" t="s">
        <v>839</v>
      </c>
      <c r="I393" s="5" t="s">
        <v>206</v>
      </c>
      <c r="J393" s="5" t="s">
        <v>80</v>
      </c>
      <c r="K393" s="5" t="s">
        <v>105</v>
      </c>
      <c r="L393" s="6">
        <v>39013</v>
      </c>
    </row>
    <row r="394" spans="1:12" x14ac:dyDescent="0.25">
      <c r="A394" s="5">
        <v>393</v>
      </c>
      <c r="B394" s="5" t="s">
        <v>682</v>
      </c>
      <c r="C394" s="5" t="s">
        <v>83</v>
      </c>
      <c r="D394" s="5" t="s">
        <v>27</v>
      </c>
      <c r="E394" s="5" t="s">
        <v>306</v>
      </c>
      <c r="F394" s="5" t="s">
        <v>840</v>
      </c>
      <c r="G394" s="5">
        <v>7487826018</v>
      </c>
      <c r="H394" s="5" t="s">
        <v>841</v>
      </c>
      <c r="I394" s="5" t="s">
        <v>206</v>
      </c>
      <c r="J394" s="5" t="s">
        <v>80</v>
      </c>
      <c r="K394" s="5" t="s">
        <v>275</v>
      </c>
      <c r="L394" s="6">
        <v>39053</v>
      </c>
    </row>
    <row r="395" spans="1:12" x14ac:dyDescent="0.25">
      <c r="A395" s="5">
        <v>394</v>
      </c>
      <c r="B395" s="5" t="s">
        <v>457</v>
      </c>
      <c r="C395" s="5" t="s">
        <v>75</v>
      </c>
      <c r="D395" s="5" t="s">
        <v>27</v>
      </c>
      <c r="E395" s="5" t="s">
        <v>351</v>
      </c>
      <c r="F395" s="5" t="s">
        <v>798</v>
      </c>
      <c r="G395" s="5">
        <v>8166564889</v>
      </c>
      <c r="H395" s="5" t="s">
        <v>842</v>
      </c>
      <c r="I395" s="5" t="s">
        <v>206</v>
      </c>
      <c r="J395" s="5" t="s">
        <v>80</v>
      </c>
      <c r="K395" s="5" t="s">
        <v>288</v>
      </c>
      <c r="L395" s="6">
        <v>38823</v>
      </c>
    </row>
    <row r="396" spans="1:12" x14ac:dyDescent="0.25">
      <c r="A396" s="5">
        <v>395</v>
      </c>
      <c r="B396" s="5" t="s">
        <v>347</v>
      </c>
      <c r="C396" s="5" t="s">
        <v>83</v>
      </c>
      <c r="D396" s="5" t="s">
        <v>27</v>
      </c>
      <c r="E396" s="5" t="s">
        <v>314</v>
      </c>
      <c r="F396" s="5" t="s">
        <v>843</v>
      </c>
      <c r="G396" s="5">
        <v>7159479115</v>
      </c>
      <c r="H396" s="5" t="s">
        <v>844</v>
      </c>
      <c r="I396" s="5" t="s">
        <v>206</v>
      </c>
      <c r="J396" s="5" t="s">
        <v>129</v>
      </c>
      <c r="K396" s="5" t="s">
        <v>275</v>
      </c>
      <c r="L396" s="6">
        <v>38797</v>
      </c>
    </row>
    <row r="397" spans="1:12" x14ac:dyDescent="0.25">
      <c r="A397" s="5">
        <v>396</v>
      </c>
      <c r="B397" s="5" t="s">
        <v>303</v>
      </c>
      <c r="C397" s="5" t="s">
        <v>75</v>
      </c>
      <c r="D397" s="5" t="s">
        <v>27</v>
      </c>
      <c r="E397" s="5" t="s">
        <v>277</v>
      </c>
      <c r="F397" s="5" t="s">
        <v>845</v>
      </c>
      <c r="G397" s="5">
        <v>6616607956</v>
      </c>
      <c r="H397" s="5" t="s">
        <v>846</v>
      </c>
      <c r="I397" s="5" t="s">
        <v>206</v>
      </c>
      <c r="J397" s="5" t="s">
        <v>80</v>
      </c>
      <c r="K397" s="5" t="s">
        <v>271</v>
      </c>
      <c r="L397" s="6">
        <v>38993</v>
      </c>
    </row>
    <row r="398" spans="1:12" x14ac:dyDescent="0.25">
      <c r="A398" s="5">
        <v>397</v>
      </c>
      <c r="B398" s="5" t="s">
        <v>544</v>
      </c>
      <c r="C398" s="5" t="s">
        <v>83</v>
      </c>
      <c r="D398" s="5" t="s">
        <v>27</v>
      </c>
      <c r="E398" s="5" t="s">
        <v>106</v>
      </c>
      <c r="F398" s="5" t="s">
        <v>847</v>
      </c>
      <c r="G398" s="5">
        <v>9017924394</v>
      </c>
      <c r="H398" s="5" t="s">
        <v>848</v>
      </c>
      <c r="I398" s="5" t="s">
        <v>206</v>
      </c>
      <c r="J398" s="5" t="s">
        <v>80</v>
      </c>
      <c r="K398" s="5" t="s">
        <v>105</v>
      </c>
      <c r="L398" s="6">
        <v>39054</v>
      </c>
    </row>
    <row r="399" spans="1:12" x14ac:dyDescent="0.25">
      <c r="A399" s="5">
        <v>398</v>
      </c>
      <c r="B399" s="5" t="s">
        <v>228</v>
      </c>
      <c r="C399" s="5" t="s">
        <v>75</v>
      </c>
      <c r="D399" s="5" t="s">
        <v>27</v>
      </c>
      <c r="E399" s="5" t="s">
        <v>285</v>
      </c>
      <c r="F399" s="5" t="s">
        <v>849</v>
      </c>
      <c r="G399" s="5">
        <v>7719665200</v>
      </c>
      <c r="H399" s="5" t="s">
        <v>809</v>
      </c>
      <c r="I399" s="5" t="s">
        <v>206</v>
      </c>
      <c r="J399" s="5" t="s">
        <v>129</v>
      </c>
      <c r="K399" s="5" t="s">
        <v>288</v>
      </c>
      <c r="L399" s="6">
        <v>38820</v>
      </c>
    </row>
    <row r="400" spans="1:12" x14ac:dyDescent="0.25">
      <c r="A400" s="5">
        <v>399</v>
      </c>
      <c r="B400" s="5" t="s">
        <v>476</v>
      </c>
      <c r="C400" s="5" t="s">
        <v>75</v>
      </c>
      <c r="D400" s="5" t="s">
        <v>27</v>
      </c>
      <c r="E400" s="5" t="s">
        <v>308</v>
      </c>
      <c r="F400" s="5" t="s">
        <v>850</v>
      </c>
      <c r="G400" s="5">
        <v>9184790964</v>
      </c>
      <c r="H400" s="5" t="s">
        <v>851</v>
      </c>
      <c r="I400" s="5" t="s">
        <v>206</v>
      </c>
      <c r="J400" s="5" t="s">
        <v>80</v>
      </c>
      <c r="K400" s="5" t="s">
        <v>288</v>
      </c>
      <c r="L400" s="6">
        <v>38793</v>
      </c>
    </row>
    <row r="401" spans="1:12" x14ac:dyDescent="0.25">
      <c r="A401" s="5">
        <v>400</v>
      </c>
      <c r="B401" s="5" t="s">
        <v>116</v>
      </c>
      <c r="C401" s="5" t="s">
        <v>75</v>
      </c>
      <c r="D401" s="5" t="s">
        <v>27</v>
      </c>
      <c r="E401" s="5" t="s">
        <v>285</v>
      </c>
      <c r="F401" s="5" t="s">
        <v>852</v>
      </c>
      <c r="G401" s="5">
        <v>9308664451</v>
      </c>
      <c r="H401" s="5" t="s">
        <v>853</v>
      </c>
      <c r="I401" s="5" t="s">
        <v>206</v>
      </c>
      <c r="J401" s="5" t="s">
        <v>80</v>
      </c>
      <c r="K401" s="5" t="s">
        <v>288</v>
      </c>
      <c r="L401" s="6">
        <v>38737</v>
      </c>
    </row>
    <row r="402" spans="1:12" x14ac:dyDescent="0.25">
      <c r="A402" s="5">
        <v>401</v>
      </c>
      <c r="B402" s="5" t="s">
        <v>350</v>
      </c>
      <c r="C402" s="5" t="s">
        <v>75</v>
      </c>
      <c r="D402" s="5" t="s">
        <v>27</v>
      </c>
      <c r="E402" s="5" t="s">
        <v>224</v>
      </c>
      <c r="F402" s="5" t="s">
        <v>854</v>
      </c>
      <c r="G402" s="5">
        <v>9404926801</v>
      </c>
      <c r="H402" s="5" t="s">
        <v>855</v>
      </c>
      <c r="I402" s="5" t="s">
        <v>206</v>
      </c>
      <c r="J402" s="5" t="s">
        <v>80</v>
      </c>
      <c r="K402" s="5" t="s">
        <v>105</v>
      </c>
      <c r="L402" s="6">
        <v>39005</v>
      </c>
    </row>
    <row r="403" spans="1:12" x14ac:dyDescent="0.25">
      <c r="A403" s="5">
        <v>402</v>
      </c>
      <c r="B403" s="5" t="s">
        <v>177</v>
      </c>
      <c r="C403" s="5" t="s">
        <v>75</v>
      </c>
      <c r="D403" s="5" t="s">
        <v>27</v>
      </c>
      <c r="E403" s="5" t="s">
        <v>314</v>
      </c>
      <c r="F403" s="5" t="s">
        <v>779</v>
      </c>
      <c r="G403" s="5">
        <v>8855688014</v>
      </c>
      <c r="H403" s="5" t="s">
        <v>856</v>
      </c>
      <c r="I403" s="5" t="s">
        <v>206</v>
      </c>
      <c r="J403" s="5" t="s">
        <v>80</v>
      </c>
      <c r="K403" s="5" t="s">
        <v>275</v>
      </c>
      <c r="L403" s="6">
        <v>38946</v>
      </c>
    </row>
    <row r="404" spans="1:12" x14ac:dyDescent="0.25">
      <c r="A404" s="5">
        <v>403</v>
      </c>
      <c r="B404" s="5" t="s">
        <v>384</v>
      </c>
      <c r="C404" s="5" t="s">
        <v>75</v>
      </c>
      <c r="D404" s="5" t="s">
        <v>27</v>
      </c>
      <c r="E404" s="5" t="s">
        <v>306</v>
      </c>
      <c r="F404" s="5" t="s">
        <v>857</v>
      </c>
      <c r="G404" s="5">
        <v>6172568031</v>
      </c>
      <c r="H404" s="5" t="s">
        <v>858</v>
      </c>
      <c r="I404" s="5" t="s">
        <v>206</v>
      </c>
      <c r="J404" s="5" t="s">
        <v>80</v>
      </c>
      <c r="K404" s="5" t="s">
        <v>275</v>
      </c>
      <c r="L404" s="6">
        <v>38980</v>
      </c>
    </row>
    <row r="405" spans="1:12" x14ac:dyDescent="0.25">
      <c r="A405" s="5">
        <v>404</v>
      </c>
      <c r="B405" s="5" t="s">
        <v>442</v>
      </c>
      <c r="C405" s="5" t="s">
        <v>83</v>
      </c>
      <c r="D405" s="5" t="s">
        <v>27</v>
      </c>
      <c r="E405" s="5" t="s">
        <v>300</v>
      </c>
      <c r="F405" s="5" t="s">
        <v>859</v>
      </c>
      <c r="G405" s="5">
        <v>6029335246</v>
      </c>
      <c r="H405" s="5" t="s">
        <v>860</v>
      </c>
      <c r="I405" s="5" t="s">
        <v>247</v>
      </c>
      <c r="J405" s="5" t="s">
        <v>159</v>
      </c>
      <c r="K405" s="5" t="s">
        <v>275</v>
      </c>
      <c r="L405" s="6">
        <v>39361</v>
      </c>
    </row>
    <row r="406" spans="1:12" x14ac:dyDescent="0.25">
      <c r="A406" s="5">
        <v>405</v>
      </c>
      <c r="B406" s="5" t="s">
        <v>303</v>
      </c>
      <c r="C406" s="5" t="s">
        <v>83</v>
      </c>
      <c r="D406" s="5" t="s">
        <v>27</v>
      </c>
      <c r="E406" s="5" t="s">
        <v>300</v>
      </c>
      <c r="F406" s="5" t="s">
        <v>845</v>
      </c>
      <c r="G406" s="5">
        <v>8273160249</v>
      </c>
      <c r="H406" s="5" t="s">
        <v>861</v>
      </c>
      <c r="I406" s="5" t="s">
        <v>247</v>
      </c>
      <c r="J406" s="5" t="s">
        <v>80</v>
      </c>
      <c r="K406" s="5" t="s">
        <v>275</v>
      </c>
      <c r="L406" s="6">
        <v>39165</v>
      </c>
    </row>
    <row r="407" spans="1:12" x14ac:dyDescent="0.25">
      <c r="A407" s="5">
        <v>406</v>
      </c>
      <c r="B407" s="5" t="s">
        <v>544</v>
      </c>
      <c r="C407" s="5" t="s">
        <v>83</v>
      </c>
      <c r="D407" s="5" t="s">
        <v>27</v>
      </c>
      <c r="E407" s="5" t="s">
        <v>351</v>
      </c>
      <c r="F407" s="5" t="s">
        <v>847</v>
      </c>
      <c r="G407" s="5">
        <v>8304390052</v>
      </c>
      <c r="H407" s="5" t="s">
        <v>862</v>
      </c>
      <c r="I407" s="5" t="s">
        <v>247</v>
      </c>
      <c r="J407" s="5" t="s">
        <v>80</v>
      </c>
      <c r="K407" s="5" t="s">
        <v>288</v>
      </c>
      <c r="L407" s="6">
        <v>39335</v>
      </c>
    </row>
    <row r="408" spans="1:12" x14ac:dyDescent="0.25">
      <c r="A408" s="5">
        <v>407</v>
      </c>
      <c r="B408" s="5" t="s">
        <v>7</v>
      </c>
      <c r="C408" s="5" t="s">
        <v>75</v>
      </c>
      <c r="D408" s="5" t="s">
        <v>27</v>
      </c>
      <c r="E408" s="5" t="s">
        <v>285</v>
      </c>
      <c r="F408" s="5" t="s">
        <v>863</v>
      </c>
      <c r="G408" s="5">
        <v>7078256257</v>
      </c>
      <c r="H408" s="5" t="s">
        <v>864</v>
      </c>
      <c r="I408" s="5" t="s">
        <v>247</v>
      </c>
      <c r="J408" s="5" t="s">
        <v>129</v>
      </c>
      <c r="K408" s="5" t="s">
        <v>288</v>
      </c>
      <c r="L408" s="6">
        <v>39130</v>
      </c>
    </row>
    <row r="409" spans="1:12" x14ac:dyDescent="0.25">
      <c r="A409" s="5">
        <v>408</v>
      </c>
      <c r="B409" s="5" t="s">
        <v>297</v>
      </c>
      <c r="C409" s="5" t="s">
        <v>75</v>
      </c>
      <c r="D409" s="5" t="s">
        <v>27</v>
      </c>
      <c r="E409" s="5" t="s">
        <v>314</v>
      </c>
      <c r="F409" s="5" t="s">
        <v>865</v>
      </c>
      <c r="G409" s="5">
        <v>8803090823</v>
      </c>
      <c r="H409" s="5" t="s">
        <v>866</v>
      </c>
      <c r="I409" s="5" t="s">
        <v>247</v>
      </c>
      <c r="J409" s="5" t="s">
        <v>80</v>
      </c>
      <c r="K409" s="5" t="s">
        <v>275</v>
      </c>
      <c r="L409" s="6">
        <v>39401</v>
      </c>
    </row>
    <row r="410" spans="1:12" x14ac:dyDescent="0.25">
      <c r="A410" s="5">
        <v>409</v>
      </c>
      <c r="B410" s="5" t="s">
        <v>218</v>
      </c>
      <c r="C410" s="5" t="s">
        <v>83</v>
      </c>
      <c r="D410" s="5" t="s">
        <v>27</v>
      </c>
      <c r="E410" s="5" t="s">
        <v>106</v>
      </c>
      <c r="F410" s="5" t="s">
        <v>867</v>
      </c>
      <c r="G410" s="5">
        <v>7141696857</v>
      </c>
      <c r="H410" s="5" t="s">
        <v>868</v>
      </c>
      <c r="I410" s="5" t="s">
        <v>247</v>
      </c>
      <c r="J410" s="5" t="s">
        <v>129</v>
      </c>
      <c r="K410" s="5" t="s">
        <v>105</v>
      </c>
      <c r="L410" s="6">
        <v>39302</v>
      </c>
    </row>
    <row r="411" spans="1:12" x14ac:dyDescent="0.25">
      <c r="A411" s="5">
        <v>410</v>
      </c>
      <c r="B411" s="5" t="s">
        <v>491</v>
      </c>
      <c r="C411" s="5" t="s">
        <v>83</v>
      </c>
      <c r="D411" s="5" t="s">
        <v>27</v>
      </c>
      <c r="E411" s="5" t="s">
        <v>268</v>
      </c>
      <c r="F411" s="5" t="s">
        <v>869</v>
      </c>
      <c r="G411" s="5">
        <v>7474644956</v>
      </c>
      <c r="H411" s="5" t="s">
        <v>870</v>
      </c>
      <c r="I411" s="5" t="s">
        <v>247</v>
      </c>
      <c r="J411" s="5" t="s">
        <v>80</v>
      </c>
      <c r="K411" s="5" t="s">
        <v>271</v>
      </c>
      <c r="L411" s="6">
        <v>39265</v>
      </c>
    </row>
    <row r="412" spans="1:12" x14ac:dyDescent="0.25">
      <c r="A412" s="5">
        <v>411</v>
      </c>
      <c r="B412" s="5" t="s">
        <v>233</v>
      </c>
      <c r="C412" s="5" t="s">
        <v>83</v>
      </c>
      <c r="D412" s="5" t="s">
        <v>27</v>
      </c>
      <c r="E412" s="5" t="s">
        <v>300</v>
      </c>
      <c r="F412" s="5" t="s">
        <v>824</v>
      </c>
      <c r="G412" s="5">
        <v>8981819166</v>
      </c>
      <c r="H412" s="5" t="s">
        <v>871</v>
      </c>
      <c r="I412" s="5" t="s">
        <v>247</v>
      </c>
      <c r="J412" s="5" t="s">
        <v>80</v>
      </c>
      <c r="K412" s="5" t="s">
        <v>275</v>
      </c>
      <c r="L412" s="6">
        <v>39193</v>
      </c>
    </row>
    <row r="413" spans="1:12" x14ac:dyDescent="0.25">
      <c r="A413" s="5">
        <v>412</v>
      </c>
      <c r="B413" s="5" t="s">
        <v>527</v>
      </c>
      <c r="C413" s="5" t="s">
        <v>83</v>
      </c>
      <c r="D413" s="5" t="s">
        <v>27</v>
      </c>
      <c r="E413" s="5" t="s">
        <v>351</v>
      </c>
      <c r="F413" s="5" t="s">
        <v>872</v>
      </c>
      <c r="G413" s="5">
        <v>7441988099</v>
      </c>
      <c r="H413" s="5" t="s">
        <v>873</v>
      </c>
      <c r="I413" s="5" t="s">
        <v>247</v>
      </c>
      <c r="J413" s="5" t="s">
        <v>80</v>
      </c>
      <c r="K413" s="5" t="s">
        <v>288</v>
      </c>
      <c r="L413" s="6">
        <v>39431</v>
      </c>
    </row>
    <row r="414" spans="1:12" x14ac:dyDescent="0.25">
      <c r="A414" s="5">
        <v>413</v>
      </c>
      <c r="B414" s="5" t="s">
        <v>130</v>
      </c>
      <c r="C414" s="5" t="s">
        <v>83</v>
      </c>
      <c r="D414" s="5" t="s">
        <v>27</v>
      </c>
      <c r="E414" s="5" t="s">
        <v>106</v>
      </c>
      <c r="F414" s="5" t="s">
        <v>874</v>
      </c>
      <c r="G414" s="5">
        <v>9195407523</v>
      </c>
      <c r="H414" s="5" t="s">
        <v>875</v>
      </c>
      <c r="I414" s="5" t="s">
        <v>247</v>
      </c>
      <c r="J414" s="5" t="s">
        <v>80</v>
      </c>
      <c r="K414" s="5" t="s">
        <v>105</v>
      </c>
      <c r="L414" s="6">
        <v>39286</v>
      </c>
    </row>
    <row r="415" spans="1:12" x14ac:dyDescent="0.25">
      <c r="A415" s="5">
        <v>414</v>
      </c>
      <c r="B415" s="5" t="s">
        <v>486</v>
      </c>
      <c r="C415" s="5" t="s">
        <v>75</v>
      </c>
      <c r="D415" s="5" t="s">
        <v>27</v>
      </c>
      <c r="E415" s="5" t="s">
        <v>224</v>
      </c>
      <c r="F415" s="5" t="s">
        <v>876</v>
      </c>
      <c r="G415" s="5">
        <v>8088592428</v>
      </c>
      <c r="H415" s="5" t="s">
        <v>877</v>
      </c>
      <c r="I415" s="5" t="s">
        <v>247</v>
      </c>
      <c r="J415" s="5" t="s">
        <v>80</v>
      </c>
      <c r="K415" s="5" t="s">
        <v>105</v>
      </c>
      <c r="L415" s="6">
        <v>39178</v>
      </c>
    </row>
    <row r="416" spans="1:12" x14ac:dyDescent="0.25">
      <c r="A416" s="5">
        <v>415</v>
      </c>
      <c r="B416" s="5" t="s">
        <v>612</v>
      </c>
      <c r="C416" s="5" t="s">
        <v>75</v>
      </c>
      <c r="D416" s="5" t="s">
        <v>27</v>
      </c>
      <c r="E416" s="5" t="s">
        <v>272</v>
      </c>
      <c r="F416" s="5" t="s">
        <v>878</v>
      </c>
      <c r="G416" s="5">
        <v>7750702304</v>
      </c>
      <c r="H416" s="5" t="s">
        <v>879</v>
      </c>
      <c r="I416" s="5" t="s">
        <v>247</v>
      </c>
      <c r="J416" s="5" t="s">
        <v>80</v>
      </c>
      <c r="K416" s="5" t="s">
        <v>275</v>
      </c>
      <c r="L416" s="6">
        <v>39389</v>
      </c>
    </row>
    <row r="417" spans="1:12" x14ac:dyDescent="0.25">
      <c r="A417" s="5">
        <v>416</v>
      </c>
      <c r="B417" s="5" t="s">
        <v>134</v>
      </c>
      <c r="C417" s="5" t="s">
        <v>75</v>
      </c>
      <c r="D417" s="5" t="s">
        <v>27</v>
      </c>
      <c r="E417" s="5" t="s">
        <v>331</v>
      </c>
      <c r="F417" s="5" t="s">
        <v>788</v>
      </c>
      <c r="G417" s="5">
        <v>6741825763</v>
      </c>
      <c r="H417" s="5" t="s">
        <v>846</v>
      </c>
      <c r="I417" s="5" t="s">
        <v>247</v>
      </c>
      <c r="J417" s="5" t="s">
        <v>80</v>
      </c>
      <c r="K417" s="5" t="s">
        <v>271</v>
      </c>
      <c r="L417" s="6">
        <v>39125</v>
      </c>
    </row>
    <row r="418" spans="1:12" x14ac:dyDescent="0.25">
      <c r="A418" s="5">
        <v>417</v>
      </c>
      <c r="B418" s="5" t="s">
        <v>95</v>
      </c>
      <c r="C418" s="5" t="s">
        <v>83</v>
      </c>
      <c r="D418" s="5" t="s">
        <v>27</v>
      </c>
      <c r="E418" s="5" t="s">
        <v>292</v>
      </c>
      <c r="F418" s="5" t="s">
        <v>880</v>
      </c>
      <c r="G418" s="5">
        <v>8489835018</v>
      </c>
      <c r="H418" s="5" t="s">
        <v>881</v>
      </c>
      <c r="I418" s="5" t="s">
        <v>247</v>
      </c>
      <c r="J418" s="5" t="s">
        <v>80</v>
      </c>
      <c r="K418" s="5" t="s">
        <v>288</v>
      </c>
      <c r="L418" s="6">
        <v>39427</v>
      </c>
    </row>
    <row r="419" spans="1:12" x14ac:dyDescent="0.25">
      <c r="A419" s="5">
        <v>418</v>
      </c>
      <c r="B419" s="5" t="s">
        <v>406</v>
      </c>
      <c r="C419" s="5" t="s">
        <v>83</v>
      </c>
      <c r="D419" s="5" t="s">
        <v>27</v>
      </c>
      <c r="E419" s="5" t="s">
        <v>289</v>
      </c>
      <c r="F419" s="5" t="s">
        <v>836</v>
      </c>
      <c r="G419" s="5">
        <v>7811663546</v>
      </c>
      <c r="H419" s="5" t="s">
        <v>882</v>
      </c>
      <c r="I419" s="5" t="s">
        <v>247</v>
      </c>
      <c r="J419" s="5" t="s">
        <v>80</v>
      </c>
      <c r="K419" s="5" t="s">
        <v>271</v>
      </c>
      <c r="L419" s="6">
        <v>39091</v>
      </c>
    </row>
    <row r="420" spans="1:12" x14ac:dyDescent="0.25">
      <c r="A420" s="5">
        <v>419</v>
      </c>
      <c r="B420" s="5" t="s">
        <v>259</v>
      </c>
      <c r="C420" s="5" t="s">
        <v>83</v>
      </c>
      <c r="D420" s="5" t="s">
        <v>27</v>
      </c>
      <c r="E420" s="5" t="s">
        <v>331</v>
      </c>
      <c r="F420" s="5" t="s">
        <v>781</v>
      </c>
      <c r="G420" s="5">
        <v>8569561562</v>
      </c>
      <c r="H420" s="5" t="s">
        <v>883</v>
      </c>
      <c r="I420" s="5" t="s">
        <v>247</v>
      </c>
      <c r="J420" s="5" t="s">
        <v>80</v>
      </c>
      <c r="K420" s="5" t="s">
        <v>271</v>
      </c>
      <c r="L420" s="6">
        <v>39209</v>
      </c>
    </row>
    <row r="421" spans="1:12" x14ac:dyDescent="0.25">
      <c r="A421" s="5">
        <v>420</v>
      </c>
      <c r="B421" s="5" t="s">
        <v>6</v>
      </c>
      <c r="C421" s="5" t="s">
        <v>75</v>
      </c>
      <c r="D421" s="5" t="s">
        <v>27</v>
      </c>
      <c r="E421" s="5" t="s">
        <v>285</v>
      </c>
      <c r="F421" s="5" t="s">
        <v>803</v>
      </c>
      <c r="G421" s="5">
        <v>6682859355</v>
      </c>
      <c r="H421" s="5" t="s">
        <v>884</v>
      </c>
      <c r="I421" s="5" t="s">
        <v>247</v>
      </c>
      <c r="J421" s="5" t="s">
        <v>159</v>
      </c>
      <c r="K421" s="5" t="s">
        <v>288</v>
      </c>
      <c r="L421" s="6">
        <v>39435</v>
      </c>
    </row>
    <row r="422" spans="1:12" x14ac:dyDescent="0.25">
      <c r="A422" s="5">
        <v>421</v>
      </c>
      <c r="B422" s="5" t="s">
        <v>116</v>
      </c>
      <c r="C422" s="5" t="s">
        <v>75</v>
      </c>
      <c r="D422" s="5" t="s">
        <v>27</v>
      </c>
      <c r="E422" s="5" t="s">
        <v>272</v>
      </c>
      <c r="F422" s="5" t="s">
        <v>852</v>
      </c>
      <c r="G422" s="5">
        <v>9173499809</v>
      </c>
      <c r="H422" s="5" t="s">
        <v>885</v>
      </c>
      <c r="I422" s="5" t="s">
        <v>247</v>
      </c>
      <c r="J422" s="5" t="s">
        <v>129</v>
      </c>
      <c r="K422" s="5" t="s">
        <v>275</v>
      </c>
      <c r="L422" s="6">
        <v>39352</v>
      </c>
    </row>
    <row r="423" spans="1:12" x14ac:dyDescent="0.25">
      <c r="A423" s="5">
        <v>422</v>
      </c>
      <c r="B423" s="5" t="s">
        <v>486</v>
      </c>
      <c r="C423" s="5" t="s">
        <v>83</v>
      </c>
      <c r="D423" s="5" t="s">
        <v>27</v>
      </c>
      <c r="E423" s="5" t="s">
        <v>314</v>
      </c>
      <c r="F423" s="5" t="s">
        <v>876</v>
      </c>
      <c r="G423" s="5">
        <v>9305140735</v>
      </c>
      <c r="H423" s="5" t="s">
        <v>886</v>
      </c>
      <c r="I423" s="5" t="s">
        <v>247</v>
      </c>
      <c r="J423" s="5" t="s">
        <v>80</v>
      </c>
      <c r="K423" s="5" t="s">
        <v>275</v>
      </c>
      <c r="L423" s="6">
        <v>39336</v>
      </c>
    </row>
    <row r="424" spans="1:12" x14ac:dyDescent="0.25">
      <c r="A424" s="5">
        <v>423</v>
      </c>
      <c r="B424" s="5" t="s">
        <v>350</v>
      </c>
      <c r="C424" s="5" t="s">
        <v>75</v>
      </c>
      <c r="D424" s="5" t="s">
        <v>27</v>
      </c>
      <c r="E424" s="5" t="s">
        <v>308</v>
      </c>
      <c r="F424" s="5" t="s">
        <v>854</v>
      </c>
      <c r="G424" s="5">
        <v>9783108062</v>
      </c>
      <c r="H424" s="5" t="s">
        <v>780</v>
      </c>
      <c r="I424" s="5" t="s">
        <v>247</v>
      </c>
      <c r="J424" s="5" t="s">
        <v>80</v>
      </c>
      <c r="K424" s="5" t="s">
        <v>288</v>
      </c>
      <c r="L424" s="6">
        <v>39420</v>
      </c>
    </row>
    <row r="425" spans="1:12" x14ac:dyDescent="0.25">
      <c r="A425" s="5">
        <v>424</v>
      </c>
      <c r="B425" s="5" t="s">
        <v>887</v>
      </c>
      <c r="C425" s="5" t="s">
        <v>83</v>
      </c>
      <c r="D425" s="5" t="s">
        <v>51</v>
      </c>
      <c r="E425" s="5" t="s">
        <v>308</v>
      </c>
      <c r="F425" s="5" t="s">
        <v>888</v>
      </c>
      <c r="G425" s="5">
        <v>8555724482</v>
      </c>
      <c r="H425" s="5" t="s">
        <v>889</v>
      </c>
      <c r="I425" s="5" t="s">
        <v>79</v>
      </c>
      <c r="J425" s="5" t="s">
        <v>80</v>
      </c>
      <c r="K425" s="5" t="s">
        <v>288</v>
      </c>
      <c r="L425" s="6">
        <v>38285</v>
      </c>
    </row>
    <row r="426" spans="1:12" x14ac:dyDescent="0.25">
      <c r="A426" s="5">
        <v>425</v>
      </c>
      <c r="B426" s="5" t="s">
        <v>195</v>
      </c>
      <c r="C426" s="5" t="s">
        <v>75</v>
      </c>
      <c r="D426" s="5" t="s">
        <v>51</v>
      </c>
      <c r="E426" s="5" t="s">
        <v>351</v>
      </c>
      <c r="F426" s="5" t="s">
        <v>890</v>
      </c>
      <c r="G426" s="5">
        <v>8581813950</v>
      </c>
      <c r="H426" s="5" t="s">
        <v>891</v>
      </c>
      <c r="I426" s="5" t="s">
        <v>79</v>
      </c>
      <c r="J426" s="5" t="s">
        <v>80</v>
      </c>
      <c r="K426" s="5" t="s">
        <v>288</v>
      </c>
      <c r="L426" s="6">
        <v>38256</v>
      </c>
    </row>
    <row r="427" spans="1:12" x14ac:dyDescent="0.25">
      <c r="A427" s="5">
        <v>426</v>
      </c>
      <c r="B427" s="5" t="s">
        <v>233</v>
      </c>
      <c r="C427" s="5" t="s">
        <v>83</v>
      </c>
      <c r="D427" s="5" t="s">
        <v>51</v>
      </c>
      <c r="E427" s="5" t="s">
        <v>351</v>
      </c>
      <c r="F427" s="5" t="s">
        <v>892</v>
      </c>
      <c r="G427" s="5">
        <v>6528351697</v>
      </c>
      <c r="H427" s="5" t="s">
        <v>893</v>
      </c>
      <c r="I427" s="5" t="s">
        <v>79</v>
      </c>
      <c r="J427" s="5" t="s">
        <v>80</v>
      </c>
      <c r="K427" s="5" t="s">
        <v>288</v>
      </c>
      <c r="L427" s="6">
        <v>38061</v>
      </c>
    </row>
    <row r="428" spans="1:12" x14ac:dyDescent="0.25">
      <c r="A428" s="5">
        <v>427</v>
      </c>
      <c r="B428" s="5" t="s">
        <v>494</v>
      </c>
      <c r="C428" s="5" t="s">
        <v>75</v>
      </c>
      <c r="D428" s="5" t="s">
        <v>51</v>
      </c>
      <c r="E428" s="5" t="s">
        <v>224</v>
      </c>
      <c r="F428" s="5" t="s">
        <v>894</v>
      </c>
      <c r="G428" s="5">
        <v>8169831203</v>
      </c>
      <c r="H428" s="5" t="s">
        <v>895</v>
      </c>
      <c r="I428" s="5" t="s">
        <v>79</v>
      </c>
      <c r="J428" s="5" t="s">
        <v>80</v>
      </c>
      <c r="K428" s="5" t="s">
        <v>105</v>
      </c>
      <c r="L428" s="6">
        <v>38036</v>
      </c>
    </row>
    <row r="429" spans="1:12" x14ac:dyDescent="0.25">
      <c r="A429" s="5">
        <v>428</v>
      </c>
      <c r="B429" s="5" t="s">
        <v>134</v>
      </c>
      <c r="C429" s="5" t="s">
        <v>83</v>
      </c>
      <c r="D429" s="5" t="s">
        <v>51</v>
      </c>
      <c r="E429" s="5" t="s">
        <v>351</v>
      </c>
      <c r="F429" s="5" t="s">
        <v>896</v>
      </c>
      <c r="G429" s="5">
        <v>6479595785</v>
      </c>
      <c r="H429" s="5" t="s">
        <v>897</v>
      </c>
      <c r="I429" s="5" t="s">
        <v>79</v>
      </c>
      <c r="J429" s="5" t="s">
        <v>80</v>
      </c>
      <c r="K429" s="5" t="s">
        <v>288</v>
      </c>
      <c r="L429" s="6">
        <v>38153</v>
      </c>
    </row>
    <row r="430" spans="1:12" x14ac:dyDescent="0.25">
      <c r="A430" s="5">
        <v>429</v>
      </c>
      <c r="B430" s="5" t="s">
        <v>527</v>
      </c>
      <c r="C430" s="5" t="s">
        <v>83</v>
      </c>
      <c r="D430" s="5" t="s">
        <v>51</v>
      </c>
      <c r="E430" s="5" t="s">
        <v>308</v>
      </c>
      <c r="F430" s="5" t="s">
        <v>898</v>
      </c>
      <c r="G430" s="5">
        <v>6354139252</v>
      </c>
      <c r="H430" s="5" t="s">
        <v>899</v>
      </c>
      <c r="I430" s="5" t="s">
        <v>79</v>
      </c>
      <c r="J430" s="5" t="s">
        <v>112</v>
      </c>
      <c r="K430" s="5" t="s">
        <v>288</v>
      </c>
      <c r="L430" s="6">
        <v>38189</v>
      </c>
    </row>
    <row r="431" spans="1:12" x14ac:dyDescent="0.25">
      <c r="A431" s="5">
        <v>430</v>
      </c>
      <c r="B431" s="5" t="s">
        <v>661</v>
      </c>
      <c r="C431" s="5" t="s">
        <v>83</v>
      </c>
      <c r="D431" s="5" t="s">
        <v>51</v>
      </c>
      <c r="E431" s="5" t="s">
        <v>308</v>
      </c>
      <c r="F431" s="5" t="s">
        <v>900</v>
      </c>
      <c r="G431" s="5">
        <v>9107541774</v>
      </c>
      <c r="H431" s="5" t="s">
        <v>901</v>
      </c>
      <c r="I431" s="5" t="s">
        <v>79</v>
      </c>
      <c r="J431" s="5" t="s">
        <v>80</v>
      </c>
      <c r="K431" s="5" t="s">
        <v>288</v>
      </c>
      <c r="L431" s="6">
        <v>38302</v>
      </c>
    </row>
    <row r="432" spans="1:12" x14ac:dyDescent="0.25">
      <c r="A432" s="5">
        <v>431</v>
      </c>
      <c r="B432" s="5" t="s">
        <v>442</v>
      </c>
      <c r="C432" s="5" t="s">
        <v>83</v>
      </c>
      <c r="D432" s="5" t="s">
        <v>51</v>
      </c>
      <c r="E432" s="5" t="s">
        <v>277</v>
      </c>
      <c r="F432" s="5" t="s">
        <v>902</v>
      </c>
      <c r="G432" s="5">
        <v>6722584934</v>
      </c>
      <c r="H432" s="5" t="s">
        <v>903</v>
      </c>
      <c r="I432" s="5" t="s">
        <v>79</v>
      </c>
      <c r="J432" s="5" t="s">
        <v>80</v>
      </c>
      <c r="K432" s="5" t="s">
        <v>271</v>
      </c>
      <c r="L432" s="6">
        <v>38332</v>
      </c>
    </row>
    <row r="433" spans="1:12" x14ac:dyDescent="0.25">
      <c r="A433" s="5">
        <v>432</v>
      </c>
      <c r="B433" s="5" t="s">
        <v>130</v>
      </c>
      <c r="C433" s="5" t="s">
        <v>75</v>
      </c>
      <c r="D433" s="5" t="s">
        <v>51</v>
      </c>
      <c r="E433" s="5" t="s">
        <v>331</v>
      </c>
      <c r="F433" s="5" t="s">
        <v>904</v>
      </c>
      <c r="G433" s="5">
        <v>8293533927</v>
      </c>
      <c r="H433" s="5" t="s">
        <v>905</v>
      </c>
      <c r="I433" s="5" t="s">
        <v>79</v>
      </c>
      <c r="J433" s="5" t="s">
        <v>80</v>
      </c>
      <c r="K433" s="5" t="s">
        <v>271</v>
      </c>
      <c r="L433" s="6">
        <v>38331</v>
      </c>
    </row>
    <row r="434" spans="1:12" x14ac:dyDescent="0.25">
      <c r="A434" s="5">
        <v>433</v>
      </c>
      <c r="B434" s="5" t="s">
        <v>641</v>
      </c>
      <c r="C434" s="5" t="s">
        <v>75</v>
      </c>
      <c r="D434" s="5" t="s">
        <v>51</v>
      </c>
      <c r="E434" s="5" t="s">
        <v>289</v>
      </c>
      <c r="F434" s="5" t="s">
        <v>906</v>
      </c>
      <c r="G434" s="5">
        <v>7924762136</v>
      </c>
      <c r="H434" s="5" t="s">
        <v>907</v>
      </c>
      <c r="I434" s="5" t="s">
        <v>79</v>
      </c>
      <c r="J434" s="5" t="s">
        <v>159</v>
      </c>
      <c r="K434" s="5" t="s">
        <v>271</v>
      </c>
      <c r="L434" s="6">
        <v>38310</v>
      </c>
    </row>
    <row r="435" spans="1:12" x14ac:dyDescent="0.25">
      <c r="A435" s="5">
        <v>434</v>
      </c>
      <c r="B435" s="5" t="s">
        <v>661</v>
      </c>
      <c r="C435" s="5" t="s">
        <v>83</v>
      </c>
      <c r="D435" s="5" t="s">
        <v>51</v>
      </c>
      <c r="E435" s="5" t="s">
        <v>351</v>
      </c>
      <c r="F435" s="5" t="s">
        <v>900</v>
      </c>
      <c r="G435" s="5">
        <v>9627262652</v>
      </c>
      <c r="H435" s="5" t="s">
        <v>908</v>
      </c>
      <c r="I435" s="5" t="s">
        <v>158</v>
      </c>
      <c r="J435" s="5" t="s">
        <v>129</v>
      </c>
      <c r="K435" s="5" t="s">
        <v>288</v>
      </c>
      <c r="L435" s="6">
        <v>38468</v>
      </c>
    </row>
    <row r="436" spans="1:12" x14ac:dyDescent="0.25">
      <c r="A436" s="5">
        <v>435</v>
      </c>
      <c r="B436" s="5" t="s">
        <v>141</v>
      </c>
      <c r="C436" s="5" t="s">
        <v>75</v>
      </c>
      <c r="D436" s="5" t="s">
        <v>51</v>
      </c>
      <c r="E436" s="5" t="s">
        <v>285</v>
      </c>
      <c r="F436" s="5" t="s">
        <v>909</v>
      </c>
      <c r="G436" s="5">
        <v>8733200110</v>
      </c>
      <c r="H436" s="5" t="s">
        <v>910</v>
      </c>
      <c r="I436" s="5" t="s">
        <v>158</v>
      </c>
      <c r="J436" s="5" t="s">
        <v>129</v>
      </c>
      <c r="K436" s="5" t="s">
        <v>288</v>
      </c>
      <c r="L436" s="6">
        <v>38536</v>
      </c>
    </row>
    <row r="437" spans="1:12" x14ac:dyDescent="0.25">
      <c r="A437" s="5">
        <v>436</v>
      </c>
      <c r="B437" s="5" t="s">
        <v>208</v>
      </c>
      <c r="C437" s="5" t="s">
        <v>75</v>
      </c>
      <c r="D437" s="5" t="s">
        <v>51</v>
      </c>
      <c r="E437" s="5" t="s">
        <v>106</v>
      </c>
      <c r="F437" s="5" t="s">
        <v>911</v>
      </c>
      <c r="G437" s="5">
        <v>7201827524</v>
      </c>
      <c r="H437" s="5" t="s">
        <v>912</v>
      </c>
      <c r="I437" s="5" t="s">
        <v>158</v>
      </c>
      <c r="J437" s="5" t="s">
        <v>80</v>
      </c>
      <c r="K437" s="5" t="s">
        <v>105</v>
      </c>
      <c r="L437" s="6">
        <v>38436</v>
      </c>
    </row>
    <row r="438" spans="1:12" x14ac:dyDescent="0.25">
      <c r="A438" s="5">
        <v>437</v>
      </c>
      <c r="B438" s="5" t="s">
        <v>373</v>
      </c>
      <c r="C438" s="5" t="s">
        <v>83</v>
      </c>
      <c r="D438" s="5" t="s">
        <v>51</v>
      </c>
      <c r="E438" s="5" t="s">
        <v>292</v>
      </c>
      <c r="F438" s="5" t="s">
        <v>913</v>
      </c>
      <c r="G438" s="5">
        <v>8186440045</v>
      </c>
      <c r="H438" s="5" t="s">
        <v>914</v>
      </c>
      <c r="I438" s="5" t="s">
        <v>158</v>
      </c>
      <c r="J438" s="5" t="s">
        <v>129</v>
      </c>
      <c r="K438" s="5" t="s">
        <v>288</v>
      </c>
      <c r="L438" s="6">
        <v>38460</v>
      </c>
    </row>
    <row r="439" spans="1:12" x14ac:dyDescent="0.25">
      <c r="A439" s="5">
        <v>438</v>
      </c>
      <c r="B439" s="5" t="s">
        <v>505</v>
      </c>
      <c r="C439" s="5" t="s">
        <v>83</v>
      </c>
      <c r="D439" s="5" t="s">
        <v>51</v>
      </c>
      <c r="E439" s="5" t="s">
        <v>308</v>
      </c>
      <c r="F439" s="5" t="s">
        <v>915</v>
      </c>
      <c r="G439" s="5">
        <v>9254425884</v>
      </c>
      <c r="H439" s="5" t="s">
        <v>916</v>
      </c>
      <c r="I439" s="5" t="s">
        <v>158</v>
      </c>
      <c r="J439" s="5" t="s">
        <v>112</v>
      </c>
      <c r="K439" s="5" t="s">
        <v>288</v>
      </c>
      <c r="L439" s="6">
        <v>38458</v>
      </c>
    </row>
    <row r="440" spans="1:12" x14ac:dyDescent="0.25">
      <c r="A440" s="5">
        <v>439</v>
      </c>
      <c r="B440" s="5" t="s">
        <v>682</v>
      </c>
      <c r="C440" s="5" t="s">
        <v>75</v>
      </c>
      <c r="D440" s="5" t="s">
        <v>51</v>
      </c>
      <c r="E440" s="5" t="s">
        <v>285</v>
      </c>
      <c r="F440" s="5" t="s">
        <v>917</v>
      </c>
      <c r="G440" s="5">
        <v>8711491834</v>
      </c>
      <c r="H440" s="5" t="s">
        <v>918</v>
      </c>
      <c r="I440" s="5" t="s">
        <v>158</v>
      </c>
      <c r="J440" s="5" t="s">
        <v>129</v>
      </c>
      <c r="K440" s="5" t="s">
        <v>288</v>
      </c>
      <c r="L440" s="6">
        <v>38447</v>
      </c>
    </row>
    <row r="441" spans="1:12" x14ac:dyDescent="0.25">
      <c r="A441" s="5">
        <v>440</v>
      </c>
      <c r="B441" s="5" t="s">
        <v>130</v>
      </c>
      <c r="C441" s="5" t="s">
        <v>75</v>
      </c>
      <c r="D441" s="5" t="s">
        <v>51</v>
      </c>
      <c r="E441" s="5" t="s">
        <v>131</v>
      </c>
      <c r="F441" s="5" t="s">
        <v>904</v>
      </c>
      <c r="G441" s="5">
        <v>7498044292</v>
      </c>
      <c r="H441" s="5" t="s">
        <v>919</v>
      </c>
      <c r="I441" s="5" t="s">
        <v>158</v>
      </c>
      <c r="J441" s="5" t="s">
        <v>80</v>
      </c>
      <c r="K441" s="5" t="s">
        <v>105</v>
      </c>
      <c r="L441" s="6">
        <v>38648</v>
      </c>
    </row>
    <row r="442" spans="1:12" x14ac:dyDescent="0.25">
      <c r="A442" s="5">
        <v>441</v>
      </c>
      <c r="B442" s="5" t="s">
        <v>218</v>
      </c>
      <c r="C442" s="5" t="s">
        <v>83</v>
      </c>
      <c r="D442" s="5" t="s">
        <v>51</v>
      </c>
      <c r="E442" s="5" t="s">
        <v>308</v>
      </c>
      <c r="F442" s="5" t="s">
        <v>920</v>
      </c>
      <c r="G442" s="5">
        <v>6686291786</v>
      </c>
      <c r="H442" s="5" t="s">
        <v>921</v>
      </c>
      <c r="I442" s="5" t="s">
        <v>158</v>
      </c>
      <c r="J442" s="5" t="s">
        <v>80</v>
      </c>
      <c r="K442" s="5" t="s">
        <v>288</v>
      </c>
      <c r="L442" s="6">
        <v>38525</v>
      </c>
    </row>
    <row r="443" spans="1:12" x14ac:dyDescent="0.25">
      <c r="A443" s="5">
        <v>442</v>
      </c>
      <c r="B443" s="5" t="s">
        <v>183</v>
      </c>
      <c r="C443" s="5" t="s">
        <v>83</v>
      </c>
      <c r="D443" s="5" t="s">
        <v>51</v>
      </c>
      <c r="E443" s="5" t="s">
        <v>351</v>
      </c>
      <c r="F443" s="5" t="s">
        <v>922</v>
      </c>
      <c r="G443" s="5">
        <v>7344846156</v>
      </c>
      <c r="H443" s="5" t="s">
        <v>923</v>
      </c>
      <c r="I443" s="5" t="s">
        <v>158</v>
      </c>
      <c r="J443" s="5" t="s">
        <v>80</v>
      </c>
      <c r="K443" s="5" t="s">
        <v>288</v>
      </c>
      <c r="L443" s="6">
        <v>38567</v>
      </c>
    </row>
    <row r="444" spans="1:12" x14ac:dyDescent="0.25">
      <c r="A444" s="5">
        <v>443</v>
      </c>
      <c r="B444" s="5" t="s">
        <v>242</v>
      </c>
      <c r="C444" s="5" t="s">
        <v>83</v>
      </c>
      <c r="D444" s="5" t="s">
        <v>51</v>
      </c>
      <c r="E444" s="5" t="s">
        <v>351</v>
      </c>
      <c r="F444" s="5" t="s">
        <v>924</v>
      </c>
      <c r="G444" s="5">
        <v>9955101468</v>
      </c>
      <c r="H444" s="5" t="s">
        <v>925</v>
      </c>
      <c r="I444" s="5" t="s">
        <v>158</v>
      </c>
      <c r="J444" s="5" t="s">
        <v>80</v>
      </c>
      <c r="K444" s="5" t="s">
        <v>288</v>
      </c>
      <c r="L444" s="6">
        <v>38646</v>
      </c>
    </row>
    <row r="445" spans="1:12" x14ac:dyDescent="0.25">
      <c r="A445" s="5">
        <v>444</v>
      </c>
      <c r="B445" s="5" t="s">
        <v>116</v>
      </c>
      <c r="C445" s="5" t="s">
        <v>75</v>
      </c>
      <c r="D445" s="5" t="s">
        <v>51</v>
      </c>
      <c r="E445" s="5" t="s">
        <v>268</v>
      </c>
      <c r="F445" s="5" t="s">
        <v>926</v>
      </c>
      <c r="G445" s="5">
        <v>8633707423</v>
      </c>
      <c r="H445" s="5" t="s">
        <v>927</v>
      </c>
      <c r="I445" s="5" t="s">
        <v>158</v>
      </c>
      <c r="J445" s="5" t="s">
        <v>80</v>
      </c>
      <c r="K445" s="5" t="s">
        <v>271</v>
      </c>
      <c r="L445" s="6">
        <v>38581</v>
      </c>
    </row>
    <row r="446" spans="1:12" x14ac:dyDescent="0.25">
      <c r="A446" s="5">
        <v>445</v>
      </c>
      <c r="B446" s="5" t="s">
        <v>357</v>
      </c>
      <c r="C446" s="5" t="s">
        <v>83</v>
      </c>
      <c r="D446" s="5" t="s">
        <v>51</v>
      </c>
      <c r="E446" s="5" t="s">
        <v>285</v>
      </c>
      <c r="F446" s="5" t="s">
        <v>928</v>
      </c>
      <c r="G446" s="5">
        <v>6968456678</v>
      </c>
      <c r="H446" s="5" t="s">
        <v>918</v>
      </c>
      <c r="I446" s="5" t="s">
        <v>158</v>
      </c>
      <c r="J446" s="5" t="s">
        <v>80</v>
      </c>
      <c r="K446" s="5" t="s">
        <v>288</v>
      </c>
      <c r="L446" s="6">
        <v>38679</v>
      </c>
    </row>
    <row r="447" spans="1:12" x14ac:dyDescent="0.25">
      <c r="A447" s="5">
        <v>446</v>
      </c>
      <c r="B447" s="5" t="s">
        <v>141</v>
      </c>
      <c r="C447" s="5" t="s">
        <v>83</v>
      </c>
      <c r="D447" s="5" t="s">
        <v>51</v>
      </c>
      <c r="E447" s="5" t="s">
        <v>285</v>
      </c>
      <c r="F447" s="5" t="s">
        <v>909</v>
      </c>
      <c r="G447" s="5">
        <v>7952094064</v>
      </c>
      <c r="H447" s="5" t="s">
        <v>929</v>
      </c>
      <c r="I447" s="5" t="s">
        <v>158</v>
      </c>
      <c r="J447" s="5" t="s">
        <v>159</v>
      </c>
      <c r="K447" s="5" t="s">
        <v>288</v>
      </c>
      <c r="L447" s="6">
        <v>38547</v>
      </c>
    </row>
    <row r="448" spans="1:12" x14ac:dyDescent="0.25">
      <c r="A448" s="5">
        <v>447</v>
      </c>
      <c r="B448" s="5" t="s">
        <v>540</v>
      </c>
      <c r="C448" s="5" t="s">
        <v>83</v>
      </c>
      <c r="D448" s="5" t="s">
        <v>51</v>
      </c>
      <c r="E448" s="5" t="s">
        <v>102</v>
      </c>
      <c r="F448" s="5" t="s">
        <v>930</v>
      </c>
      <c r="G448" s="5">
        <v>6209161083</v>
      </c>
      <c r="H448" s="5" t="s">
        <v>931</v>
      </c>
      <c r="I448" s="5" t="s">
        <v>158</v>
      </c>
      <c r="J448" s="5" t="s">
        <v>80</v>
      </c>
      <c r="K448" s="5" t="s">
        <v>105</v>
      </c>
      <c r="L448" s="6">
        <v>38386</v>
      </c>
    </row>
    <row r="449" spans="1:12" x14ac:dyDescent="0.25">
      <c r="A449" s="5">
        <v>448</v>
      </c>
      <c r="B449" s="5" t="s">
        <v>368</v>
      </c>
      <c r="C449" s="5" t="s">
        <v>83</v>
      </c>
      <c r="D449" s="5" t="s">
        <v>51</v>
      </c>
      <c r="E449" s="5" t="s">
        <v>351</v>
      </c>
      <c r="F449" s="5" t="s">
        <v>932</v>
      </c>
      <c r="G449" s="5">
        <v>7197902782</v>
      </c>
      <c r="H449" s="5" t="s">
        <v>933</v>
      </c>
      <c r="I449" s="5" t="s">
        <v>158</v>
      </c>
      <c r="J449" s="5" t="s">
        <v>80</v>
      </c>
      <c r="K449" s="5" t="s">
        <v>288</v>
      </c>
      <c r="L449" s="6">
        <v>38476</v>
      </c>
    </row>
    <row r="450" spans="1:12" x14ac:dyDescent="0.25">
      <c r="A450" s="5">
        <v>449</v>
      </c>
      <c r="B450" s="5" t="s">
        <v>134</v>
      </c>
      <c r="C450" s="5" t="s">
        <v>83</v>
      </c>
      <c r="D450" s="5" t="s">
        <v>51</v>
      </c>
      <c r="E450" s="5" t="s">
        <v>351</v>
      </c>
      <c r="F450" s="5" t="s">
        <v>896</v>
      </c>
      <c r="G450" s="5">
        <v>6336107015</v>
      </c>
      <c r="H450" s="5" t="s">
        <v>934</v>
      </c>
      <c r="I450" s="5" t="s">
        <v>206</v>
      </c>
      <c r="J450" s="5" t="s">
        <v>129</v>
      </c>
      <c r="K450" s="5" t="s">
        <v>288</v>
      </c>
      <c r="L450" s="6">
        <v>39042</v>
      </c>
    </row>
    <row r="451" spans="1:12" x14ac:dyDescent="0.25">
      <c r="A451" s="5">
        <v>450</v>
      </c>
      <c r="B451" s="5" t="s">
        <v>86</v>
      </c>
      <c r="C451" s="5" t="s">
        <v>75</v>
      </c>
      <c r="D451" s="5" t="s">
        <v>51</v>
      </c>
      <c r="E451" s="5" t="s">
        <v>351</v>
      </c>
      <c r="F451" s="5" t="s">
        <v>935</v>
      </c>
      <c r="G451" s="5">
        <v>7126579002</v>
      </c>
      <c r="H451" s="5" t="s">
        <v>936</v>
      </c>
      <c r="I451" s="5" t="s">
        <v>206</v>
      </c>
      <c r="J451" s="5" t="s">
        <v>112</v>
      </c>
      <c r="K451" s="5" t="s">
        <v>288</v>
      </c>
      <c r="L451" s="6">
        <v>38876</v>
      </c>
    </row>
    <row r="452" spans="1:12" x14ac:dyDescent="0.25">
      <c r="A452" s="5">
        <v>451</v>
      </c>
      <c r="B452" s="5" t="s">
        <v>706</v>
      </c>
      <c r="C452" s="5" t="s">
        <v>75</v>
      </c>
      <c r="D452" s="5" t="s">
        <v>51</v>
      </c>
      <c r="E452" s="5" t="s">
        <v>102</v>
      </c>
      <c r="F452" s="5" t="s">
        <v>937</v>
      </c>
      <c r="G452" s="5">
        <v>7357112279</v>
      </c>
      <c r="H452" s="5" t="s">
        <v>938</v>
      </c>
      <c r="I452" s="5" t="s">
        <v>206</v>
      </c>
      <c r="J452" s="5" t="s">
        <v>159</v>
      </c>
      <c r="K452" s="5" t="s">
        <v>105</v>
      </c>
      <c r="L452" s="6">
        <v>38797</v>
      </c>
    </row>
    <row r="453" spans="1:12" x14ac:dyDescent="0.25">
      <c r="A453" s="5">
        <v>452</v>
      </c>
      <c r="B453" s="5" t="s">
        <v>174</v>
      </c>
      <c r="C453" s="5" t="s">
        <v>83</v>
      </c>
      <c r="D453" s="5" t="s">
        <v>51</v>
      </c>
      <c r="E453" s="5" t="s">
        <v>268</v>
      </c>
      <c r="F453" s="5" t="s">
        <v>939</v>
      </c>
      <c r="G453" s="5">
        <v>8382470464</v>
      </c>
      <c r="H453" s="5" t="s">
        <v>940</v>
      </c>
      <c r="I453" s="5" t="s">
        <v>206</v>
      </c>
      <c r="J453" s="5" t="s">
        <v>80</v>
      </c>
      <c r="K453" s="5" t="s">
        <v>271</v>
      </c>
      <c r="L453" s="6">
        <v>38822</v>
      </c>
    </row>
    <row r="454" spans="1:12" x14ac:dyDescent="0.25">
      <c r="A454" s="5">
        <v>453</v>
      </c>
      <c r="B454" s="5" t="s">
        <v>95</v>
      </c>
      <c r="C454" s="5" t="s">
        <v>75</v>
      </c>
      <c r="D454" s="5" t="s">
        <v>51</v>
      </c>
      <c r="E454" s="5" t="s">
        <v>277</v>
      </c>
      <c r="F454" s="5" t="s">
        <v>941</v>
      </c>
      <c r="G454" s="5">
        <v>9370273368</v>
      </c>
      <c r="H454" s="5" t="s">
        <v>942</v>
      </c>
      <c r="I454" s="5" t="s">
        <v>206</v>
      </c>
      <c r="J454" s="5" t="s">
        <v>80</v>
      </c>
      <c r="K454" s="5" t="s">
        <v>271</v>
      </c>
      <c r="L454" s="6">
        <v>39046</v>
      </c>
    </row>
    <row r="455" spans="1:12" x14ac:dyDescent="0.25">
      <c r="A455" s="5">
        <v>454</v>
      </c>
      <c r="B455" s="5" t="s">
        <v>428</v>
      </c>
      <c r="C455" s="5" t="s">
        <v>83</v>
      </c>
      <c r="D455" s="5" t="s">
        <v>51</v>
      </c>
      <c r="E455" s="5" t="s">
        <v>268</v>
      </c>
      <c r="F455" s="5" t="s">
        <v>943</v>
      </c>
      <c r="G455" s="5">
        <v>7309048297</v>
      </c>
      <c r="H455" s="5" t="s">
        <v>944</v>
      </c>
      <c r="I455" s="5" t="s">
        <v>206</v>
      </c>
      <c r="J455" s="5" t="s">
        <v>112</v>
      </c>
      <c r="K455" s="5" t="s">
        <v>271</v>
      </c>
      <c r="L455" s="6">
        <v>38957</v>
      </c>
    </row>
    <row r="456" spans="1:12" x14ac:dyDescent="0.25">
      <c r="A456" s="5">
        <v>455</v>
      </c>
      <c r="B456" s="5" t="s">
        <v>762</v>
      </c>
      <c r="C456" s="5" t="s">
        <v>75</v>
      </c>
      <c r="D456" s="5" t="s">
        <v>51</v>
      </c>
      <c r="E456" s="5" t="s">
        <v>106</v>
      </c>
      <c r="F456" s="5" t="s">
        <v>945</v>
      </c>
      <c r="G456" s="5">
        <v>8418495442</v>
      </c>
      <c r="H456" s="5" t="s">
        <v>946</v>
      </c>
      <c r="I456" s="5" t="s">
        <v>206</v>
      </c>
      <c r="J456" s="5" t="s">
        <v>80</v>
      </c>
      <c r="K456" s="5" t="s">
        <v>105</v>
      </c>
      <c r="L456" s="6">
        <v>38840</v>
      </c>
    </row>
    <row r="457" spans="1:12" x14ac:dyDescent="0.25">
      <c r="A457" s="5">
        <v>456</v>
      </c>
      <c r="B457" s="5" t="s">
        <v>544</v>
      </c>
      <c r="C457" s="5" t="s">
        <v>83</v>
      </c>
      <c r="D457" s="5" t="s">
        <v>51</v>
      </c>
      <c r="E457" s="5" t="s">
        <v>224</v>
      </c>
      <c r="F457" s="5" t="s">
        <v>947</v>
      </c>
      <c r="G457" s="5">
        <v>6516715969</v>
      </c>
      <c r="H457" s="5" t="s">
        <v>948</v>
      </c>
      <c r="I457" s="5" t="s">
        <v>206</v>
      </c>
      <c r="J457" s="5" t="s">
        <v>80</v>
      </c>
      <c r="K457" s="5" t="s">
        <v>105</v>
      </c>
      <c r="L457" s="6">
        <v>38965</v>
      </c>
    </row>
    <row r="458" spans="1:12" x14ac:dyDescent="0.25">
      <c r="A458" s="5">
        <v>457</v>
      </c>
      <c r="B458" s="5" t="s">
        <v>641</v>
      </c>
      <c r="C458" s="5" t="s">
        <v>83</v>
      </c>
      <c r="D458" s="5" t="s">
        <v>51</v>
      </c>
      <c r="E458" s="5" t="s">
        <v>131</v>
      </c>
      <c r="F458" s="5" t="s">
        <v>906</v>
      </c>
      <c r="G458" s="5">
        <v>6168440682</v>
      </c>
      <c r="H458" s="5" t="s">
        <v>949</v>
      </c>
      <c r="I458" s="5" t="s">
        <v>247</v>
      </c>
      <c r="J458" s="5" t="s">
        <v>80</v>
      </c>
      <c r="K458" s="5" t="s">
        <v>105</v>
      </c>
      <c r="L458" s="6">
        <v>39095</v>
      </c>
    </row>
    <row r="459" spans="1:12" x14ac:dyDescent="0.25">
      <c r="A459" s="5">
        <v>458</v>
      </c>
      <c r="B459" s="5" t="s">
        <v>276</v>
      </c>
      <c r="C459" s="5" t="s">
        <v>83</v>
      </c>
      <c r="D459" s="5" t="s">
        <v>51</v>
      </c>
      <c r="E459" s="5" t="s">
        <v>277</v>
      </c>
      <c r="F459" s="5" t="s">
        <v>950</v>
      </c>
      <c r="G459" s="5">
        <v>7237594037</v>
      </c>
      <c r="H459" s="5" t="s">
        <v>951</v>
      </c>
      <c r="I459" s="5" t="s">
        <v>247</v>
      </c>
      <c r="J459" s="5" t="s">
        <v>80</v>
      </c>
      <c r="K459" s="5" t="s">
        <v>271</v>
      </c>
      <c r="L459" s="6">
        <v>39132</v>
      </c>
    </row>
    <row r="460" spans="1:12" x14ac:dyDescent="0.25">
      <c r="A460" s="5">
        <v>459</v>
      </c>
      <c r="B460" s="5" t="s">
        <v>8</v>
      </c>
      <c r="C460" s="5" t="s">
        <v>75</v>
      </c>
      <c r="D460" s="5" t="s">
        <v>51</v>
      </c>
      <c r="E460" s="5" t="s">
        <v>308</v>
      </c>
      <c r="F460" s="5" t="s">
        <v>952</v>
      </c>
      <c r="G460" s="5">
        <v>9996811232</v>
      </c>
      <c r="H460" s="5" t="s">
        <v>953</v>
      </c>
      <c r="I460" s="5" t="s">
        <v>247</v>
      </c>
      <c r="J460" s="5" t="s">
        <v>129</v>
      </c>
      <c r="K460" s="5" t="s">
        <v>288</v>
      </c>
      <c r="L460" s="6">
        <v>39306</v>
      </c>
    </row>
    <row r="461" spans="1:12" x14ac:dyDescent="0.25">
      <c r="A461" s="5">
        <v>460</v>
      </c>
      <c r="B461" s="5" t="s">
        <v>328</v>
      </c>
      <c r="C461" s="5" t="s">
        <v>75</v>
      </c>
      <c r="D461" s="5" t="s">
        <v>51</v>
      </c>
      <c r="E461" s="5" t="s">
        <v>289</v>
      </c>
      <c r="F461" s="5" t="s">
        <v>954</v>
      </c>
      <c r="G461" s="5">
        <v>7279958365</v>
      </c>
      <c r="H461" s="5" t="s">
        <v>955</v>
      </c>
      <c r="I461" s="5" t="s">
        <v>247</v>
      </c>
      <c r="J461" s="5" t="s">
        <v>159</v>
      </c>
      <c r="K461" s="5" t="s">
        <v>271</v>
      </c>
      <c r="L461" s="6">
        <v>39284</v>
      </c>
    </row>
    <row r="462" spans="1:12" x14ac:dyDescent="0.25">
      <c r="A462" s="5">
        <v>461</v>
      </c>
      <c r="B462" s="5" t="s">
        <v>575</v>
      </c>
      <c r="C462" s="5" t="s">
        <v>75</v>
      </c>
      <c r="D462" s="5" t="s">
        <v>51</v>
      </c>
      <c r="E462" s="5" t="s">
        <v>292</v>
      </c>
      <c r="F462" s="5" t="s">
        <v>956</v>
      </c>
      <c r="G462" s="5">
        <v>7946937580</v>
      </c>
      <c r="H462" s="5" t="s">
        <v>957</v>
      </c>
      <c r="I462" s="5" t="s">
        <v>247</v>
      </c>
      <c r="J462" s="5" t="s">
        <v>80</v>
      </c>
      <c r="K462" s="5" t="s">
        <v>288</v>
      </c>
      <c r="L462" s="6">
        <v>39140</v>
      </c>
    </row>
    <row r="463" spans="1:12" x14ac:dyDescent="0.25">
      <c r="A463" s="5">
        <v>462</v>
      </c>
      <c r="B463" s="5" t="s">
        <v>514</v>
      </c>
      <c r="C463" s="5" t="s">
        <v>75</v>
      </c>
      <c r="D463" s="5" t="s">
        <v>51</v>
      </c>
      <c r="E463" s="5" t="s">
        <v>331</v>
      </c>
      <c r="F463" s="5" t="s">
        <v>958</v>
      </c>
      <c r="G463" s="5">
        <v>6389533548</v>
      </c>
      <c r="H463" s="5" t="s">
        <v>959</v>
      </c>
      <c r="I463" s="5" t="s">
        <v>247</v>
      </c>
      <c r="J463" s="5" t="s">
        <v>80</v>
      </c>
      <c r="K463" s="5" t="s">
        <v>271</v>
      </c>
      <c r="L463" s="6">
        <v>39123</v>
      </c>
    </row>
    <row r="464" spans="1:12" x14ac:dyDescent="0.25">
      <c r="A464" s="5">
        <v>463</v>
      </c>
      <c r="B464" s="5" t="s">
        <v>187</v>
      </c>
      <c r="C464" s="5" t="s">
        <v>83</v>
      </c>
      <c r="D464" s="5" t="s">
        <v>51</v>
      </c>
      <c r="E464" s="5" t="s">
        <v>292</v>
      </c>
      <c r="F464" s="5" t="s">
        <v>960</v>
      </c>
      <c r="G464" s="5">
        <v>8531820132</v>
      </c>
      <c r="H464" s="5" t="s">
        <v>961</v>
      </c>
      <c r="I464" s="5" t="s">
        <v>247</v>
      </c>
      <c r="J464" s="5" t="s">
        <v>80</v>
      </c>
      <c r="K464" s="5" t="s">
        <v>288</v>
      </c>
      <c r="L464" s="6">
        <v>39420</v>
      </c>
    </row>
    <row r="465" spans="1:12" x14ac:dyDescent="0.25">
      <c r="A465" s="5">
        <v>464</v>
      </c>
      <c r="B465" s="5" t="s">
        <v>357</v>
      </c>
      <c r="C465" s="5" t="s">
        <v>75</v>
      </c>
      <c r="D465" s="5" t="s">
        <v>51</v>
      </c>
      <c r="E465" s="5" t="s">
        <v>131</v>
      </c>
      <c r="F465" s="5" t="s">
        <v>928</v>
      </c>
      <c r="G465" s="5">
        <v>8229314214</v>
      </c>
      <c r="H465" s="5" t="s">
        <v>962</v>
      </c>
      <c r="I465" s="5" t="s">
        <v>247</v>
      </c>
      <c r="J465" s="5" t="s">
        <v>129</v>
      </c>
      <c r="K465" s="5" t="s">
        <v>105</v>
      </c>
      <c r="L465" s="6">
        <v>39377</v>
      </c>
    </row>
    <row r="466" spans="1:12" x14ac:dyDescent="0.25">
      <c r="A466" s="5">
        <v>465</v>
      </c>
      <c r="B466" s="5" t="s">
        <v>82</v>
      </c>
      <c r="C466" s="5" t="s">
        <v>75</v>
      </c>
      <c r="D466" s="5" t="s">
        <v>51</v>
      </c>
      <c r="E466" s="5" t="s">
        <v>331</v>
      </c>
      <c r="F466" s="5" t="s">
        <v>963</v>
      </c>
      <c r="G466" s="5">
        <v>8672293427</v>
      </c>
      <c r="H466" s="5" t="s">
        <v>964</v>
      </c>
      <c r="I466" s="5" t="s">
        <v>247</v>
      </c>
      <c r="J466" s="5" t="s">
        <v>129</v>
      </c>
      <c r="K466" s="5" t="s">
        <v>271</v>
      </c>
      <c r="L466" s="6">
        <v>39304</v>
      </c>
    </row>
    <row r="467" spans="1:12" x14ac:dyDescent="0.25">
      <c r="A467" s="5">
        <v>466</v>
      </c>
      <c r="B467" s="5" t="s">
        <v>417</v>
      </c>
      <c r="C467" s="5" t="s">
        <v>75</v>
      </c>
      <c r="D467" s="5" t="s">
        <v>51</v>
      </c>
      <c r="E467" s="5" t="s">
        <v>277</v>
      </c>
      <c r="F467" s="5" t="s">
        <v>965</v>
      </c>
      <c r="G467" s="5">
        <v>8978032874</v>
      </c>
      <c r="H467" s="5" t="s">
        <v>966</v>
      </c>
      <c r="I467" s="5" t="s">
        <v>247</v>
      </c>
      <c r="J467" s="5" t="s">
        <v>80</v>
      </c>
      <c r="K467" s="5" t="s">
        <v>271</v>
      </c>
      <c r="L467" s="6">
        <v>39421</v>
      </c>
    </row>
    <row r="468" spans="1:12" x14ac:dyDescent="0.25">
      <c r="A468" s="5">
        <v>467</v>
      </c>
      <c r="B468" s="5" t="s">
        <v>682</v>
      </c>
      <c r="C468" s="5" t="s">
        <v>83</v>
      </c>
      <c r="D468" s="5" t="s">
        <v>51</v>
      </c>
      <c r="E468" s="5" t="s">
        <v>106</v>
      </c>
      <c r="F468" s="5" t="s">
        <v>917</v>
      </c>
      <c r="G468" s="5">
        <v>6500893391</v>
      </c>
      <c r="H468" s="5" t="s">
        <v>967</v>
      </c>
      <c r="I468" s="5" t="s">
        <v>247</v>
      </c>
      <c r="J468" s="5" t="s">
        <v>80</v>
      </c>
      <c r="K468" s="5" t="s">
        <v>105</v>
      </c>
      <c r="L468" s="6">
        <v>39441</v>
      </c>
    </row>
    <row r="469" spans="1:12" x14ac:dyDescent="0.25">
      <c r="A469" s="5">
        <v>468</v>
      </c>
      <c r="B469" s="5" t="s">
        <v>101</v>
      </c>
      <c r="C469" s="5" t="s">
        <v>83</v>
      </c>
      <c r="D469" s="5" t="s">
        <v>51</v>
      </c>
      <c r="E469" s="5" t="s">
        <v>268</v>
      </c>
      <c r="F469" s="5" t="s">
        <v>968</v>
      </c>
      <c r="G469" s="5">
        <v>8825325966</v>
      </c>
      <c r="H469" s="5" t="s">
        <v>938</v>
      </c>
      <c r="I469" s="5" t="s">
        <v>247</v>
      </c>
      <c r="J469" s="5" t="s">
        <v>129</v>
      </c>
      <c r="K469" s="5" t="s">
        <v>271</v>
      </c>
      <c r="L469" s="6">
        <v>39254</v>
      </c>
    </row>
    <row r="470" spans="1:12" x14ac:dyDescent="0.25">
      <c r="A470" s="5">
        <v>469</v>
      </c>
      <c r="B470" s="5" t="s">
        <v>6</v>
      </c>
      <c r="C470" s="5" t="s">
        <v>75</v>
      </c>
      <c r="D470" s="5" t="s">
        <v>35</v>
      </c>
      <c r="E470" s="5" t="s">
        <v>969</v>
      </c>
      <c r="F470" s="5" t="s">
        <v>970</v>
      </c>
      <c r="G470" s="5">
        <v>9021681309</v>
      </c>
      <c r="H470" s="5" t="s">
        <v>971</v>
      </c>
      <c r="I470" s="5" t="s">
        <v>79</v>
      </c>
      <c r="J470" s="5" t="s">
        <v>80</v>
      </c>
      <c r="K470" s="5" t="s">
        <v>972</v>
      </c>
      <c r="L470" s="6">
        <v>38109</v>
      </c>
    </row>
    <row r="471" spans="1:12" x14ac:dyDescent="0.25">
      <c r="A471" s="5">
        <v>470</v>
      </c>
      <c r="B471" s="5" t="s">
        <v>317</v>
      </c>
      <c r="C471" s="5" t="s">
        <v>75</v>
      </c>
      <c r="D471" s="5" t="s">
        <v>35</v>
      </c>
      <c r="E471" s="5" t="s">
        <v>135</v>
      </c>
      <c r="F471" s="5" t="s">
        <v>973</v>
      </c>
      <c r="G471" s="5">
        <v>6717203288</v>
      </c>
      <c r="H471" s="5" t="s">
        <v>974</v>
      </c>
      <c r="I471" s="5" t="s">
        <v>79</v>
      </c>
      <c r="J471" s="5" t="s">
        <v>80</v>
      </c>
      <c r="K471" s="5" t="s">
        <v>81</v>
      </c>
      <c r="L471" s="6">
        <v>38348</v>
      </c>
    </row>
    <row r="472" spans="1:12" x14ac:dyDescent="0.25">
      <c r="A472" s="5">
        <v>471</v>
      </c>
      <c r="B472" s="5" t="s">
        <v>514</v>
      </c>
      <c r="C472" s="5" t="s">
        <v>75</v>
      </c>
      <c r="D472" s="5" t="s">
        <v>35</v>
      </c>
      <c r="E472" s="5" t="s">
        <v>126</v>
      </c>
      <c r="F472" s="5" t="s">
        <v>975</v>
      </c>
      <c r="G472" s="5">
        <v>8524846222</v>
      </c>
      <c r="H472" s="5" t="s">
        <v>976</v>
      </c>
      <c r="I472" s="5" t="s">
        <v>79</v>
      </c>
      <c r="J472" s="5" t="s">
        <v>80</v>
      </c>
      <c r="K472" s="5" t="s">
        <v>90</v>
      </c>
      <c r="L472" s="6">
        <v>37990</v>
      </c>
    </row>
    <row r="473" spans="1:12" x14ac:dyDescent="0.25">
      <c r="A473" s="5">
        <v>472</v>
      </c>
      <c r="B473" s="5" t="s">
        <v>98</v>
      </c>
      <c r="C473" s="5" t="s">
        <v>83</v>
      </c>
      <c r="D473" s="5" t="s">
        <v>35</v>
      </c>
      <c r="E473" s="5" t="s">
        <v>977</v>
      </c>
      <c r="F473" s="5" t="s">
        <v>978</v>
      </c>
      <c r="G473" s="5">
        <v>8710911759</v>
      </c>
      <c r="H473" s="5" t="s">
        <v>979</v>
      </c>
      <c r="I473" s="5" t="s">
        <v>79</v>
      </c>
      <c r="J473" s="5" t="s">
        <v>80</v>
      </c>
      <c r="K473" s="5" t="s">
        <v>972</v>
      </c>
      <c r="L473" s="6">
        <v>38331</v>
      </c>
    </row>
    <row r="474" spans="1:12" x14ac:dyDescent="0.25">
      <c r="A474" s="5">
        <v>473</v>
      </c>
      <c r="B474" s="5" t="s">
        <v>259</v>
      </c>
      <c r="C474" s="5" t="s">
        <v>83</v>
      </c>
      <c r="D474" s="5" t="s">
        <v>35</v>
      </c>
      <c r="E474" s="5" t="s">
        <v>109</v>
      </c>
      <c r="F474" s="5" t="s">
        <v>980</v>
      </c>
      <c r="G474" s="5">
        <v>9709976698</v>
      </c>
      <c r="H474" s="5" t="s">
        <v>981</v>
      </c>
      <c r="I474" s="5" t="s">
        <v>79</v>
      </c>
      <c r="J474" s="5" t="s">
        <v>80</v>
      </c>
      <c r="K474" s="5" t="s">
        <v>81</v>
      </c>
      <c r="L474" s="6">
        <v>38050</v>
      </c>
    </row>
    <row r="475" spans="1:12" x14ac:dyDescent="0.25">
      <c r="A475" s="5">
        <v>474</v>
      </c>
      <c r="B475" s="5" t="s">
        <v>486</v>
      </c>
      <c r="C475" s="5" t="s">
        <v>83</v>
      </c>
      <c r="D475" s="5" t="s">
        <v>35</v>
      </c>
      <c r="E475" s="5" t="s">
        <v>977</v>
      </c>
      <c r="F475" s="5" t="s">
        <v>982</v>
      </c>
      <c r="G475" s="5">
        <v>9106089765</v>
      </c>
      <c r="H475" s="5" t="s">
        <v>983</v>
      </c>
      <c r="I475" s="5" t="s">
        <v>79</v>
      </c>
      <c r="J475" s="5" t="s">
        <v>80</v>
      </c>
      <c r="K475" s="5" t="s">
        <v>972</v>
      </c>
      <c r="L475" s="6">
        <v>38090</v>
      </c>
    </row>
    <row r="476" spans="1:12" x14ac:dyDescent="0.25">
      <c r="A476" s="5">
        <v>475</v>
      </c>
      <c r="B476" s="5" t="s">
        <v>368</v>
      </c>
      <c r="C476" s="5" t="s">
        <v>75</v>
      </c>
      <c r="D476" s="5" t="s">
        <v>35</v>
      </c>
      <c r="E476" s="5" t="s">
        <v>984</v>
      </c>
      <c r="F476" s="5" t="s">
        <v>985</v>
      </c>
      <c r="G476" s="5">
        <v>8509935609</v>
      </c>
      <c r="H476" s="5" t="s">
        <v>986</v>
      </c>
      <c r="I476" s="5" t="s">
        <v>79</v>
      </c>
      <c r="J476" s="5" t="s">
        <v>80</v>
      </c>
      <c r="K476" s="5" t="s">
        <v>972</v>
      </c>
      <c r="L476" s="6">
        <v>37992</v>
      </c>
    </row>
    <row r="477" spans="1:12" x14ac:dyDescent="0.25">
      <c r="A477" s="5">
        <v>476</v>
      </c>
      <c r="B477" s="5" t="s">
        <v>360</v>
      </c>
      <c r="C477" s="5" t="s">
        <v>83</v>
      </c>
      <c r="D477" s="5" t="s">
        <v>35</v>
      </c>
      <c r="E477" s="5" t="s">
        <v>984</v>
      </c>
      <c r="F477" s="5" t="s">
        <v>987</v>
      </c>
      <c r="G477" s="5">
        <v>6895681039</v>
      </c>
      <c r="H477" s="5" t="s">
        <v>988</v>
      </c>
      <c r="I477" s="5" t="s">
        <v>79</v>
      </c>
      <c r="J477" s="5" t="s">
        <v>80</v>
      </c>
      <c r="K477" s="5" t="s">
        <v>972</v>
      </c>
      <c r="L477" s="6">
        <v>38209</v>
      </c>
    </row>
    <row r="478" spans="1:12" x14ac:dyDescent="0.25">
      <c r="A478" s="5">
        <v>477</v>
      </c>
      <c r="B478" s="5" t="s">
        <v>212</v>
      </c>
      <c r="C478" s="5" t="s">
        <v>75</v>
      </c>
      <c r="D478" s="5" t="s">
        <v>35</v>
      </c>
      <c r="E478" s="5" t="s">
        <v>969</v>
      </c>
      <c r="F478" s="5" t="s">
        <v>989</v>
      </c>
      <c r="G478" s="5">
        <v>9442249812</v>
      </c>
      <c r="H478" s="5" t="s">
        <v>990</v>
      </c>
      <c r="I478" s="5" t="s">
        <v>79</v>
      </c>
      <c r="J478" s="5" t="s">
        <v>80</v>
      </c>
      <c r="K478" s="5" t="s">
        <v>972</v>
      </c>
      <c r="L478" s="6">
        <v>38156</v>
      </c>
    </row>
    <row r="479" spans="1:12" x14ac:dyDescent="0.25">
      <c r="A479" s="5">
        <v>478</v>
      </c>
      <c r="B479" s="5" t="s">
        <v>420</v>
      </c>
      <c r="C479" s="5" t="s">
        <v>83</v>
      </c>
      <c r="D479" s="5" t="s">
        <v>35</v>
      </c>
      <c r="E479" s="5" t="s">
        <v>991</v>
      </c>
      <c r="F479" s="5" t="s">
        <v>992</v>
      </c>
      <c r="G479" s="5">
        <v>8988783494</v>
      </c>
      <c r="H479" s="5" t="s">
        <v>993</v>
      </c>
      <c r="I479" s="5" t="s">
        <v>79</v>
      </c>
      <c r="J479" s="5" t="s">
        <v>80</v>
      </c>
      <c r="K479" s="5" t="s">
        <v>994</v>
      </c>
      <c r="L479" s="6">
        <v>38258</v>
      </c>
    </row>
    <row r="480" spans="1:12" x14ac:dyDescent="0.25">
      <c r="A480" s="5">
        <v>479</v>
      </c>
      <c r="B480" s="5" t="s">
        <v>706</v>
      </c>
      <c r="C480" s="5" t="s">
        <v>75</v>
      </c>
      <c r="D480" s="5" t="s">
        <v>35</v>
      </c>
      <c r="E480" s="5" t="s">
        <v>995</v>
      </c>
      <c r="F480" s="5" t="s">
        <v>996</v>
      </c>
      <c r="G480" s="5">
        <v>6120863250</v>
      </c>
      <c r="H480" s="5" t="s">
        <v>997</v>
      </c>
      <c r="I480" s="5" t="s">
        <v>79</v>
      </c>
      <c r="J480" s="5" t="s">
        <v>80</v>
      </c>
      <c r="K480" s="5" t="s">
        <v>998</v>
      </c>
      <c r="L480" s="6">
        <v>38220</v>
      </c>
    </row>
    <row r="481" spans="1:12" x14ac:dyDescent="0.25">
      <c r="A481" s="5">
        <v>480</v>
      </c>
      <c r="B481" s="5" t="s">
        <v>661</v>
      </c>
      <c r="C481" s="5" t="s">
        <v>75</v>
      </c>
      <c r="D481" s="5" t="s">
        <v>35</v>
      </c>
      <c r="E481" s="5" t="s">
        <v>969</v>
      </c>
      <c r="F481" s="5" t="s">
        <v>999</v>
      </c>
      <c r="G481" s="5">
        <v>6909159813</v>
      </c>
      <c r="H481" s="5" t="s">
        <v>1000</v>
      </c>
      <c r="I481" s="5" t="s">
        <v>79</v>
      </c>
      <c r="J481" s="5" t="s">
        <v>80</v>
      </c>
      <c r="K481" s="5" t="s">
        <v>972</v>
      </c>
      <c r="L481" s="6">
        <v>38053</v>
      </c>
    </row>
    <row r="482" spans="1:12" x14ac:dyDescent="0.25">
      <c r="A482" s="5">
        <v>481</v>
      </c>
      <c r="B482" s="5" t="s">
        <v>144</v>
      </c>
      <c r="C482" s="5" t="s">
        <v>83</v>
      </c>
      <c r="D482" s="5" t="s">
        <v>35</v>
      </c>
      <c r="E482" s="5" t="s">
        <v>995</v>
      </c>
      <c r="F482" s="5" t="s">
        <v>1001</v>
      </c>
      <c r="G482" s="5">
        <v>7253823509</v>
      </c>
      <c r="H482" s="5" t="s">
        <v>1002</v>
      </c>
      <c r="I482" s="5" t="s">
        <v>79</v>
      </c>
      <c r="J482" s="5" t="s">
        <v>159</v>
      </c>
      <c r="K482" s="5" t="s">
        <v>998</v>
      </c>
      <c r="L482" s="6">
        <v>38304</v>
      </c>
    </row>
    <row r="483" spans="1:12" x14ac:dyDescent="0.25">
      <c r="A483" s="5">
        <v>482</v>
      </c>
      <c r="B483" s="5" t="s">
        <v>491</v>
      </c>
      <c r="C483" s="5" t="s">
        <v>83</v>
      </c>
      <c r="D483" s="5" t="s">
        <v>35</v>
      </c>
      <c r="E483" s="5" t="s">
        <v>995</v>
      </c>
      <c r="F483" s="5" t="s">
        <v>1003</v>
      </c>
      <c r="G483" s="5">
        <v>9349996936</v>
      </c>
      <c r="H483" s="5" t="s">
        <v>1004</v>
      </c>
      <c r="I483" s="5" t="s">
        <v>79</v>
      </c>
      <c r="J483" s="5" t="s">
        <v>80</v>
      </c>
      <c r="K483" s="5" t="s">
        <v>998</v>
      </c>
      <c r="L483" s="6">
        <v>38278</v>
      </c>
    </row>
    <row r="484" spans="1:12" x14ac:dyDescent="0.25">
      <c r="A484" s="5">
        <v>483</v>
      </c>
      <c r="B484" s="5" t="s">
        <v>575</v>
      </c>
      <c r="C484" s="5" t="s">
        <v>75</v>
      </c>
      <c r="D484" s="5" t="s">
        <v>35</v>
      </c>
      <c r="E484" s="5" t="s">
        <v>1005</v>
      </c>
      <c r="F484" s="5" t="s">
        <v>1006</v>
      </c>
      <c r="G484" s="5">
        <v>6696936754</v>
      </c>
      <c r="H484" s="5" t="s">
        <v>1007</v>
      </c>
      <c r="I484" s="5" t="s">
        <v>79</v>
      </c>
      <c r="J484" s="5" t="s">
        <v>112</v>
      </c>
      <c r="K484" s="5" t="s">
        <v>994</v>
      </c>
      <c r="L484" s="6">
        <v>37994</v>
      </c>
    </row>
    <row r="485" spans="1:12" x14ac:dyDescent="0.25">
      <c r="A485" s="5">
        <v>484</v>
      </c>
      <c r="B485" s="5" t="s">
        <v>328</v>
      </c>
      <c r="C485" s="5" t="s">
        <v>75</v>
      </c>
      <c r="D485" s="5" t="s">
        <v>35</v>
      </c>
      <c r="E485" s="5" t="s">
        <v>1008</v>
      </c>
      <c r="F485" s="5" t="s">
        <v>1009</v>
      </c>
      <c r="G485" s="5">
        <v>7530188069</v>
      </c>
      <c r="H485" s="5" t="s">
        <v>1010</v>
      </c>
      <c r="I485" s="5" t="s">
        <v>79</v>
      </c>
      <c r="J485" s="5" t="s">
        <v>80</v>
      </c>
      <c r="K485" s="5" t="s">
        <v>998</v>
      </c>
      <c r="L485" s="6">
        <v>38217</v>
      </c>
    </row>
    <row r="486" spans="1:12" x14ac:dyDescent="0.25">
      <c r="A486" s="5">
        <v>485</v>
      </c>
      <c r="B486" s="5" t="s">
        <v>396</v>
      </c>
      <c r="C486" s="5" t="s">
        <v>75</v>
      </c>
      <c r="D486" s="5" t="s">
        <v>35</v>
      </c>
      <c r="E486" s="5" t="s">
        <v>1011</v>
      </c>
      <c r="F486" s="5" t="s">
        <v>1012</v>
      </c>
      <c r="G486" s="5">
        <v>7188035650</v>
      </c>
      <c r="H486" s="5" t="s">
        <v>1013</v>
      </c>
      <c r="I486" s="5" t="s">
        <v>79</v>
      </c>
      <c r="J486" s="5" t="s">
        <v>80</v>
      </c>
      <c r="K486" s="5" t="s">
        <v>994</v>
      </c>
      <c r="L486" s="6">
        <v>38217</v>
      </c>
    </row>
    <row r="487" spans="1:12" x14ac:dyDescent="0.25">
      <c r="A487" s="5">
        <v>486</v>
      </c>
      <c r="B487" s="5" t="s">
        <v>417</v>
      </c>
      <c r="C487" s="5" t="s">
        <v>75</v>
      </c>
      <c r="D487" s="5" t="s">
        <v>35</v>
      </c>
      <c r="E487" s="5" t="s">
        <v>467</v>
      </c>
      <c r="F487" s="5" t="s">
        <v>1014</v>
      </c>
      <c r="G487" s="5">
        <v>8614078379</v>
      </c>
      <c r="H487" s="5" t="s">
        <v>1015</v>
      </c>
      <c r="I487" s="5" t="s">
        <v>79</v>
      </c>
      <c r="J487" s="5" t="s">
        <v>129</v>
      </c>
      <c r="K487" s="5" t="s">
        <v>400</v>
      </c>
      <c r="L487" s="6">
        <v>38283</v>
      </c>
    </row>
    <row r="488" spans="1:12" x14ac:dyDescent="0.25">
      <c r="A488" s="5">
        <v>487</v>
      </c>
      <c r="B488" s="5" t="s">
        <v>138</v>
      </c>
      <c r="C488" s="5" t="s">
        <v>83</v>
      </c>
      <c r="D488" s="5" t="s">
        <v>35</v>
      </c>
      <c r="E488" s="5" t="s">
        <v>1016</v>
      </c>
      <c r="F488" s="5" t="s">
        <v>1017</v>
      </c>
      <c r="G488" s="5">
        <v>7666129966</v>
      </c>
      <c r="H488" s="5" t="s">
        <v>1018</v>
      </c>
      <c r="I488" s="5" t="s">
        <v>79</v>
      </c>
      <c r="J488" s="5" t="s">
        <v>80</v>
      </c>
      <c r="K488" s="5" t="s">
        <v>998</v>
      </c>
      <c r="L488" s="6">
        <v>38254</v>
      </c>
    </row>
    <row r="489" spans="1:12" x14ac:dyDescent="0.25">
      <c r="A489" s="5">
        <v>488</v>
      </c>
      <c r="B489" s="5" t="s">
        <v>208</v>
      </c>
      <c r="C489" s="5" t="s">
        <v>83</v>
      </c>
      <c r="D489" s="5" t="s">
        <v>35</v>
      </c>
      <c r="E489" s="5" t="s">
        <v>991</v>
      </c>
      <c r="F489" s="5" t="s">
        <v>1019</v>
      </c>
      <c r="G489" s="5">
        <v>8968896506</v>
      </c>
      <c r="H489" s="5" t="s">
        <v>1020</v>
      </c>
      <c r="I489" s="5" t="s">
        <v>79</v>
      </c>
      <c r="J489" s="5" t="s">
        <v>80</v>
      </c>
      <c r="K489" s="5" t="s">
        <v>994</v>
      </c>
      <c r="L489" s="6">
        <v>38233</v>
      </c>
    </row>
    <row r="490" spans="1:12" x14ac:dyDescent="0.25">
      <c r="A490" s="5">
        <v>489</v>
      </c>
      <c r="B490" s="5" t="s">
        <v>122</v>
      </c>
      <c r="C490" s="5" t="s">
        <v>83</v>
      </c>
      <c r="D490" s="5" t="s">
        <v>35</v>
      </c>
      <c r="E490" s="5" t="s">
        <v>1008</v>
      </c>
      <c r="F490" s="5" t="s">
        <v>1021</v>
      </c>
      <c r="G490" s="5">
        <v>7357061627</v>
      </c>
      <c r="H490" s="5" t="s">
        <v>1022</v>
      </c>
      <c r="I490" s="5" t="s">
        <v>79</v>
      </c>
      <c r="J490" s="5" t="s">
        <v>112</v>
      </c>
      <c r="K490" s="5" t="s">
        <v>998</v>
      </c>
      <c r="L490" s="6">
        <v>38261</v>
      </c>
    </row>
    <row r="491" spans="1:12" x14ac:dyDescent="0.25">
      <c r="A491" s="5">
        <v>490</v>
      </c>
      <c r="B491" s="5" t="s">
        <v>486</v>
      </c>
      <c r="C491" s="5" t="s">
        <v>75</v>
      </c>
      <c r="D491" s="5" t="s">
        <v>35</v>
      </c>
      <c r="E491" s="5" t="s">
        <v>1011</v>
      </c>
      <c r="F491" s="5" t="s">
        <v>982</v>
      </c>
      <c r="G491" s="5">
        <v>9171730952</v>
      </c>
      <c r="H491" s="5" t="s">
        <v>1023</v>
      </c>
      <c r="I491" s="5" t="s">
        <v>79</v>
      </c>
      <c r="J491" s="5" t="s">
        <v>80</v>
      </c>
      <c r="K491" s="5" t="s">
        <v>994</v>
      </c>
      <c r="L491" s="6">
        <v>38042</v>
      </c>
    </row>
    <row r="492" spans="1:12" x14ac:dyDescent="0.25">
      <c r="A492" s="5">
        <v>491</v>
      </c>
      <c r="B492" s="5" t="s">
        <v>384</v>
      </c>
      <c r="C492" s="5" t="s">
        <v>83</v>
      </c>
      <c r="D492" s="5" t="s">
        <v>35</v>
      </c>
      <c r="E492" s="5" t="s">
        <v>1016</v>
      </c>
      <c r="F492" s="5" t="s">
        <v>1024</v>
      </c>
      <c r="G492" s="5">
        <v>9125864617</v>
      </c>
      <c r="H492" s="5" t="s">
        <v>1025</v>
      </c>
      <c r="I492" s="5" t="s">
        <v>79</v>
      </c>
      <c r="J492" s="5" t="s">
        <v>80</v>
      </c>
      <c r="K492" s="5" t="s">
        <v>998</v>
      </c>
      <c r="L492" s="6">
        <v>38181</v>
      </c>
    </row>
    <row r="493" spans="1:12" x14ac:dyDescent="0.25">
      <c r="A493" s="5">
        <v>492</v>
      </c>
      <c r="B493" s="5" t="s">
        <v>98</v>
      </c>
      <c r="C493" s="5" t="s">
        <v>75</v>
      </c>
      <c r="D493" s="5" t="s">
        <v>35</v>
      </c>
      <c r="E493" s="5" t="s">
        <v>995</v>
      </c>
      <c r="F493" s="5" t="s">
        <v>978</v>
      </c>
      <c r="G493" s="5">
        <v>7201942241</v>
      </c>
      <c r="H493" s="5" t="s">
        <v>1026</v>
      </c>
      <c r="I493" s="5" t="s">
        <v>79</v>
      </c>
      <c r="J493" s="5" t="s">
        <v>159</v>
      </c>
      <c r="K493" s="5" t="s">
        <v>998</v>
      </c>
      <c r="L493" s="6">
        <v>38004</v>
      </c>
    </row>
    <row r="494" spans="1:12" x14ac:dyDescent="0.25">
      <c r="A494" s="5">
        <v>493</v>
      </c>
      <c r="B494" s="5" t="s">
        <v>406</v>
      </c>
      <c r="C494" s="5" t="s">
        <v>83</v>
      </c>
      <c r="D494" s="5" t="s">
        <v>35</v>
      </c>
      <c r="E494" s="5" t="s">
        <v>969</v>
      </c>
      <c r="F494" s="5" t="s">
        <v>1027</v>
      </c>
      <c r="G494" s="5">
        <v>9874804159</v>
      </c>
      <c r="H494" s="5" t="s">
        <v>1028</v>
      </c>
      <c r="I494" s="5" t="s">
        <v>79</v>
      </c>
      <c r="J494" s="5" t="s">
        <v>129</v>
      </c>
      <c r="K494" s="5" t="s">
        <v>972</v>
      </c>
      <c r="L494" s="6">
        <v>38347</v>
      </c>
    </row>
    <row r="495" spans="1:12" x14ac:dyDescent="0.25">
      <c r="A495" s="5">
        <v>494</v>
      </c>
      <c r="B495" s="5" t="s">
        <v>486</v>
      </c>
      <c r="C495" s="5" t="s">
        <v>75</v>
      </c>
      <c r="D495" s="5" t="s">
        <v>35</v>
      </c>
      <c r="E495" s="5" t="s">
        <v>1016</v>
      </c>
      <c r="F495" s="5" t="s">
        <v>982</v>
      </c>
      <c r="G495" s="5">
        <v>8472023472</v>
      </c>
      <c r="H495" s="5" t="s">
        <v>1029</v>
      </c>
      <c r="I495" s="5" t="s">
        <v>79</v>
      </c>
      <c r="J495" s="5" t="s">
        <v>80</v>
      </c>
      <c r="K495" s="5" t="s">
        <v>998</v>
      </c>
      <c r="L495" s="6">
        <v>38082</v>
      </c>
    </row>
    <row r="496" spans="1:12" x14ac:dyDescent="0.25">
      <c r="A496" s="5">
        <v>495</v>
      </c>
      <c r="B496" s="5" t="s">
        <v>215</v>
      </c>
      <c r="C496" s="5" t="s">
        <v>83</v>
      </c>
      <c r="D496" s="5" t="s">
        <v>35</v>
      </c>
      <c r="E496" s="5" t="s">
        <v>984</v>
      </c>
      <c r="F496" s="5" t="s">
        <v>1030</v>
      </c>
      <c r="G496" s="5">
        <v>7170748484</v>
      </c>
      <c r="H496" s="5" t="s">
        <v>1031</v>
      </c>
      <c r="I496" s="5" t="s">
        <v>79</v>
      </c>
      <c r="J496" s="5" t="s">
        <v>129</v>
      </c>
      <c r="K496" s="5" t="s">
        <v>972</v>
      </c>
      <c r="L496" s="6">
        <v>37997</v>
      </c>
    </row>
    <row r="497" spans="1:12" x14ac:dyDescent="0.25">
      <c r="A497" s="5">
        <v>496</v>
      </c>
      <c r="B497" s="5" t="s">
        <v>134</v>
      </c>
      <c r="C497" s="5" t="s">
        <v>75</v>
      </c>
      <c r="D497" s="5" t="s">
        <v>35</v>
      </c>
      <c r="E497" s="5" t="s">
        <v>984</v>
      </c>
      <c r="F497" s="5" t="s">
        <v>1032</v>
      </c>
      <c r="G497" s="5">
        <v>8006796414</v>
      </c>
      <c r="H497" s="5" t="s">
        <v>1033</v>
      </c>
      <c r="I497" s="5" t="s">
        <v>79</v>
      </c>
      <c r="J497" s="5" t="s">
        <v>80</v>
      </c>
      <c r="K497" s="5" t="s">
        <v>972</v>
      </c>
      <c r="L497" s="6">
        <v>38006</v>
      </c>
    </row>
    <row r="498" spans="1:12" x14ac:dyDescent="0.25">
      <c r="A498" s="5">
        <v>497</v>
      </c>
      <c r="B498" s="5" t="s">
        <v>74</v>
      </c>
      <c r="C498" s="5" t="s">
        <v>83</v>
      </c>
      <c r="D498" s="5" t="s">
        <v>35</v>
      </c>
      <c r="E498" s="5" t="s">
        <v>1034</v>
      </c>
      <c r="F498" s="5" t="s">
        <v>1035</v>
      </c>
      <c r="G498" s="5">
        <v>8476223022</v>
      </c>
      <c r="H498" s="5" t="s">
        <v>1036</v>
      </c>
      <c r="I498" s="5" t="s">
        <v>79</v>
      </c>
      <c r="J498" s="5" t="s">
        <v>80</v>
      </c>
      <c r="K498" s="5" t="s">
        <v>994</v>
      </c>
      <c r="L498" s="6">
        <v>38156</v>
      </c>
    </row>
    <row r="499" spans="1:12" x14ac:dyDescent="0.25">
      <c r="A499" s="5">
        <v>498</v>
      </c>
      <c r="B499" s="5" t="s">
        <v>130</v>
      </c>
      <c r="C499" s="5" t="s">
        <v>83</v>
      </c>
      <c r="D499" s="5" t="s">
        <v>35</v>
      </c>
      <c r="E499" s="5" t="s">
        <v>109</v>
      </c>
      <c r="F499" s="5" t="s">
        <v>1037</v>
      </c>
      <c r="G499" s="5">
        <v>7658707093</v>
      </c>
      <c r="H499" s="5" t="s">
        <v>1038</v>
      </c>
      <c r="I499" s="5" t="s">
        <v>79</v>
      </c>
      <c r="J499" s="5" t="s">
        <v>80</v>
      </c>
      <c r="K499" s="5" t="s">
        <v>81</v>
      </c>
      <c r="L499" s="6">
        <v>38060</v>
      </c>
    </row>
    <row r="500" spans="1:12" x14ac:dyDescent="0.25">
      <c r="A500" s="5">
        <v>499</v>
      </c>
      <c r="B500" s="5" t="s">
        <v>491</v>
      </c>
      <c r="C500" s="5" t="s">
        <v>83</v>
      </c>
      <c r="D500" s="5" t="s">
        <v>35</v>
      </c>
      <c r="E500" s="5" t="s">
        <v>1008</v>
      </c>
      <c r="F500" s="5" t="s">
        <v>1003</v>
      </c>
      <c r="G500" s="5">
        <v>8889440396</v>
      </c>
      <c r="H500" s="5" t="s">
        <v>1039</v>
      </c>
      <c r="I500" s="5" t="s">
        <v>79</v>
      </c>
      <c r="J500" s="5" t="s">
        <v>129</v>
      </c>
      <c r="K500" s="5" t="s">
        <v>998</v>
      </c>
      <c r="L500" s="6">
        <v>38178</v>
      </c>
    </row>
    <row r="501" spans="1:12" x14ac:dyDescent="0.25">
      <c r="A501" s="5">
        <v>500</v>
      </c>
      <c r="B501" s="5" t="s">
        <v>125</v>
      </c>
      <c r="C501" s="5" t="s">
        <v>83</v>
      </c>
      <c r="D501" s="5" t="s">
        <v>35</v>
      </c>
      <c r="E501" s="5" t="s">
        <v>1011</v>
      </c>
      <c r="F501" s="5" t="s">
        <v>1040</v>
      </c>
      <c r="G501" s="5">
        <v>6300252557</v>
      </c>
      <c r="H501" s="5" t="s">
        <v>1041</v>
      </c>
      <c r="I501" s="5" t="s">
        <v>79</v>
      </c>
      <c r="J501" s="5" t="s">
        <v>80</v>
      </c>
      <c r="K501" s="5" t="s">
        <v>994</v>
      </c>
      <c r="L501" s="6">
        <v>38248</v>
      </c>
    </row>
    <row r="502" spans="1:12" x14ac:dyDescent="0.25">
      <c r="A502" s="5">
        <v>501</v>
      </c>
      <c r="B502" s="5" t="s">
        <v>1042</v>
      </c>
      <c r="C502" s="5" t="s">
        <v>83</v>
      </c>
      <c r="D502" s="5" t="s">
        <v>35</v>
      </c>
      <c r="E502" s="5" t="s">
        <v>1034</v>
      </c>
      <c r="F502" s="5" t="s">
        <v>1043</v>
      </c>
      <c r="G502" s="5">
        <v>8411567852</v>
      </c>
      <c r="H502" s="5" t="s">
        <v>1044</v>
      </c>
      <c r="I502" s="5" t="s">
        <v>79</v>
      </c>
      <c r="J502" s="5" t="s">
        <v>80</v>
      </c>
      <c r="K502" s="5" t="s">
        <v>994</v>
      </c>
      <c r="L502" s="6">
        <v>38109</v>
      </c>
    </row>
    <row r="503" spans="1:12" x14ac:dyDescent="0.25">
      <c r="A503" s="5">
        <v>502</v>
      </c>
      <c r="B503" s="5" t="s">
        <v>276</v>
      </c>
      <c r="C503" s="5" t="s">
        <v>75</v>
      </c>
      <c r="D503" s="5" t="s">
        <v>35</v>
      </c>
      <c r="E503" s="5" t="s">
        <v>984</v>
      </c>
      <c r="F503" s="5" t="s">
        <v>1045</v>
      </c>
      <c r="G503" s="5">
        <v>9828385521</v>
      </c>
      <c r="H503" s="5" t="s">
        <v>1044</v>
      </c>
      <c r="I503" s="5" t="s">
        <v>79</v>
      </c>
      <c r="J503" s="5" t="s">
        <v>129</v>
      </c>
      <c r="K503" s="5" t="s">
        <v>972</v>
      </c>
      <c r="L503" s="6">
        <v>38038</v>
      </c>
    </row>
    <row r="504" spans="1:12" x14ac:dyDescent="0.25">
      <c r="A504" s="5">
        <v>503</v>
      </c>
      <c r="B504" s="5" t="s">
        <v>228</v>
      </c>
      <c r="C504" s="5" t="s">
        <v>83</v>
      </c>
      <c r="D504" s="5" t="s">
        <v>35</v>
      </c>
      <c r="E504" s="5" t="s">
        <v>1011</v>
      </c>
      <c r="F504" s="5" t="s">
        <v>1046</v>
      </c>
      <c r="G504" s="5">
        <v>7045099201</v>
      </c>
      <c r="H504" s="5" t="s">
        <v>979</v>
      </c>
      <c r="I504" s="5" t="s">
        <v>79</v>
      </c>
      <c r="J504" s="5" t="s">
        <v>80</v>
      </c>
      <c r="K504" s="5" t="s">
        <v>994</v>
      </c>
      <c r="L504" s="6">
        <v>38272</v>
      </c>
    </row>
    <row r="505" spans="1:12" x14ac:dyDescent="0.25">
      <c r="A505" s="5">
        <v>504</v>
      </c>
      <c r="B505" s="5" t="s">
        <v>706</v>
      </c>
      <c r="C505" s="5" t="s">
        <v>83</v>
      </c>
      <c r="D505" s="5" t="s">
        <v>35</v>
      </c>
      <c r="E505" s="5" t="s">
        <v>135</v>
      </c>
      <c r="F505" s="5" t="s">
        <v>996</v>
      </c>
      <c r="G505" s="5">
        <v>6760230864</v>
      </c>
      <c r="H505" s="5" t="s">
        <v>1047</v>
      </c>
      <c r="I505" s="5" t="s">
        <v>79</v>
      </c>
      <c r="J505" s="5" t="s">
        <v>129</v>
      </c>
      <c r="K505" s="5" t="s">
        <v>81</v>
      </c>
      <c r="L505" s="6">
        <v>38133</v>
      </c>
    </row>
    <row r="506" spans="1:12" x14ac:dyDescent="0.25">
      <c r="A506" s="5">
        <v>505</v>
      </c>
      <c r="B506" s="5" t="s">
        <v>311</v>
      </c>
      <c r="C506" s="5" t="s">
        <v>75</v>
      </c>
      <c r="D506" s="5" t="s">
        <v>35</v>
      </c>
      <c r="E506" s="5" t="s">
        <v>87</v>
      </c>
      <c r="F506" s="5" t="s">
        <v>1048</v>
      </c>
      <c r="G506" s="5">
        <v>7158083529</v>
      </c>
      <c r="H506" s="5" t="s">
        <v>1049</v>
      </c>
      <c r="I506" s="5" t="s">
        <v>79</v>
      </c>
      <c r="J506" s="5" t="s">
        <v>80</v>
      </c>
      <c r="K506" s="5" t="s">
        <v>90</v>
      </c>
      <c r="L506" s="6">
        <v>38342</v>
      </c>
    </row>
    <row r="507" spans="1:12" x14ac:dyDescent="0.25">
      <c r="A507" s="5">
        <v>506</v>
      </c>
      <c r="B507" s="5" t="s">
        <v>514</v>
      </c>
      <c r="C507" s="5" t="s">
        <v>75</v>
      </c>
      <c r="D507" s="5" t="s">
        <v>35</v>
      </c>
      <c r="E507" s="5" t="s">
        <v>467</v>
      </c>
      <c r="F507" s="5" t="s">
        <v>975</v>
      </c>
      <c r="G507" s="5">
        <v>6786026929</v>
      </c>
      <c r="H507" s="5" t="s">
        <v>1050</v>
      </c>
      <c r="I507" s="5" t="s">
        <v>79</v>
      </c>
      <c r="J507" s="5" t="s">
        <v>80</v>
      </c>
      <c r="K507" s="5" t="s">
        <v>400</v>
      </c>
      <c r="L507" s="6">
        <v>38003</v>
      </c>
    </row>
    <row r="508" spans="1:12" x14ac:dyDescent="0.25">
      <c r="A508" s="5">
        <v>507</v>
      </c>
      <c r="B508" s="5" t="s">
        <v>203</v>
      </c>
      <c r="C508" s="5" t="s">
        <v>75</v>
      </c>
      <c r="D508" s="5" t="s">
        <v>35</v>
      </c>
      <c r="E508" s="5" t="s">
        <v>991</v>
      </c>
      <c r="F508" s="5" t="s">
        <v>1051</v>
      </c>
      <c r="G508" s="5">
        <v>9556697793</v>
      </c>
      <c r="H508" s="5" t="s">
        <v>1010</v>
      </c>
      <c r="I508" s="5" t="s">
        <v>79</v>
      </c>
      <c r="J508" s="5" t="s">
        <v>80</v>
      </c>
      <c r="K508" s="5" t="s">
        <v>994</v>
      </c>
      <c r="L508" s="6">
        <v>38119</v>
      </c>
    </row>
    <row r="509" spans="1:12" x14ac:dyDescent="0.25">
      <c r="A509" s="5">
        <v>508</v>
      </c>
      <c r="B509" s="5" t="s">
        <v>228</v>
      </c>
      <c r="C509" s="5" t="s">
        <v>83</v>
      </c>
      <c r="D509" s="5" t="s">
        <v>35</v>
      </c>
      <c r="E509" s="5" t="s">
        <v>995</v>
      </c>
      <c r="F509" s="5" t="s">
        <v>1046</v>
      </c>
      <c r="G509" s="5">
        <v>7217754378</v>
      </c>
      <c r="H509" s="5" t="s">
        <v>1052</v>
      </c>
      <c r="I509" s="5" t="s">
        <v>79</v>
      </c>
      <c r="J509" s="5" t="s">
        <v>80</v>
      </c>
      <c r="K509" s="5" t="s">
        <v>998</v>
      </c>
      <c r="L509" s="6">
        <v>38297</v>
      </c>
    </row>
    <row r="510" spans="1:12" x14ac:dyDescent="0.25">
      <c r="A510" s="5">
        <v>509</v>
      </c>
      <c r="B510" s="5" t="s">
        <v>393</v>
      </c>
      <c r="C510" s="5" t="s">
        <v>75</v>
      </c>
      <c r="D510" s="5" t="s">
        <v>35</v>
      </c>
      <c r="E510" s="5" t="s">
        <v>184</v>
      </c>
      <c r="F510" s="5" t="s">
        <v>1053</v>
      </c>
      <c r="G510" s="5">
        <v>9923746913</v>
      </c>
      <c r="H510" s="5" t="s">
        <v>1054</v>
      </c>
      <c r="I510" s="5" t="s">
        <v>79</v>
      </c>
      <c r="J510" s="5" t="s">
        <v>80</v>
      </c>
      <c r="K510" s="5" t="s">
        <v>90</v>
      </c>
      <c r="L510" s="6">
        <v>38337</v>
      </c>
    </row>
    <row r="511" spans="1:12" x14ac:dyDescent="0.25">
      <c r="A511" s="5">
        <v>510</v>
      </c>
      <c r="B511" s="5" t="s">
        <v>311</v>
      </c>
      <c r="C511" s="5" t="s">
        <v>83</v>
      </c>
      <c r="D511" s="5" t="s">
        <v>35</v>
      </c>
      <c r="E511" s="5" t="s">
        <v>92</v>
      </c>
      <c r="F511" s="5" t="s">
        <v>1048</v>
      </c>
      <c r="G511" s="5">
        <v>8433911354</v>
      </c>
      <c r="H511" s="5" t="s">
        <v>1055</v>
      </c>
      <c r="I511" s="5" t="s">
        <v>79</v>
      </c>
      <c r="J511" s="5" t="s">
        <v>80</v>
      </c>
      <c r="K511" s="5" t="s">
        <v>81</v>
      </c>
      <c r="L511" s="6">
        <v>38220</v>
      </c>
    </row>
    <row r="512" spans="1:12" x14ac:dyDescent="0.25">
      <c r="A512" s="5">
        <v>511</v>
      </c>
      <c r="B512" s="5" t="s">
        <v>373</v>
      </c>
      <c r="C512" s="5" t="s">
        <v>75</v>
      </c>
      <c r="D512" s="5" t="s">
        <v>35</v>
      </c>
      <c r="E512" s="5" t="s">
        <v>984</v>
      </c>
      <c r="F512" s="5" t="s">
        <v>1056</v>
      </c>
      <c r="G512" s="5">
        <v>9177863368</v>
      </c>
      <c r="H512" s="5" t="s">
        <v>1057</v>
      </c>
      <c r="I512" s="5" t="s">
        <v>79</v>
      </c>
      <c r="J512" s="5" t="s">
        <v>80</v>
      </c>
      <c r="K512" s="5" t="s">
        <v>972</v>
      </c>
      <c r="L512" s="6">
        <v>38242</v>
      </c>
    </row>
    <row r="513" spans="1:12" x14ac:dyDescent="0.25">
      <c r="A513" s="5">
        <v>512</v>
      </c>
      <c r="B513" s="5" t="s">
        <v>198</v>
      </c>
      <c r="C513" s="5" t="s">
        <v>75</v>
      </c>
      <c r="D513" s="5" t="s">
        <v>35</v>
      </c>
      <c r="E513" s="5" t="s">
        <v>969</v>
      </c>
      <c r="F513" s="5" t="s">
        <v>1058</v>
      </c>
      <c r="G513" s="5">
        <v>8614827902</v>
      </c>
      <c r="H513" s="5" t="s">
        <v>1059</v>
      </c>
      <c r="I513" s="5" t="s">
        <v>79</v>
      </c>
      <c r="J513" s="5" t="s">
        <v>80</v>
      </c>
      <c r="K513" s="5" t="s">
        <v>972</v>
      </c>
      <c r="L513" s="6">
        <v>38274</v>
      </c>
    </row>
    <row r="514" spans="1:12" x14ac:dyDescent="0.25">
      <c r="A514" s="5">
        <v>513</v>
      </c>
      <c r="B514" s="5" t="s">
        <v>6</v>
      </c>
      <c r="C514" s="5" t="s">
        <v>83</v>
      </c>
      <c r="D514" s="5" t="s">
        <v>35</v>
      </c>
      <c r="E514" s="5" t="s">
        <v>1034</v>
      </c>
      <c r="F514" s="5" t="s">
        <v>970</v>
      </c>
      <c r="G514" s="5">
        <v>6335460672</v>
      </c>
      <c r="H514" s="5" t="s">
        <v>1060</v>
      </c>
      <c r="I514" s="5" t="s">
        <v>79</v>
      </c>
      <c r="J514" s="5" t="s">
        <v>80</v>
      </c>
      <c r="K514" s="5" t="s">
        <v>994</v>
      </c>
      <c r="L514" s="6">
        <v>38293</v>
      </c>
    </row>
    <row r="515" spans="1:12" x14ac:dyDescent="0.25">
      <c r="A515" s="5">
        <v>514</v>
      </c>
      <c r="B515" s="5" t="s">
        <v>347</v>
      </c>
      <c r="C515" s="5" t="s">
        <v>75</v>
      </c>
      <c r="D515" s="5" t="s">
        <v>35</v>
      </c>
      <c r="E515" s="5" t="s">
        <v>995</v>
      </c>
      <c r="F515" s="5" t="s">
        <v>1061</v>
      </c>
      <c r="G515" s="5">
        <v>8294997534</v>
      </c>
      <c r="H515" s="5" t="s">
        <v>1062</v>
      </c>
      <c r="I515" s="5" t="s">
        <v>79</v>
      </c>
      <c r="J515" s="5" t="s">
        <v>80</v>
      </c>
      <c r="K515" s="5" t="s">
        <v>998</v>
      </c>
      <c r="L515" s="6">
        <v>38263</v>
      </c>
    </row>
    <row r="516" spans="1:12" x14ac:dyDescent="0.25">
      <c r="A516" s="5">
        <v>515</v>
      </c>
      <c r="B516" s="5" t="s">
        <v>82</v>
      </c>
      <c r="C516" s="5" t="s">
        <v>75</v>
      </c>
      <c r="D516" s="5" t="s">
        <v>35</v>
      </c>
      <c r="E516" s="5" t="s">
        <v>977</v>
      </c>
      <c r="F516" s="5" t="s">
        <v>1063</v>
      </c>
      <c r="G516" s="5">
        <v>8435895038</v>
      </c>
      <c r="H516" s="5" t="s">
        <v>1064</v>
      </c>
      <c r="I516" s="5" t="s">
        <v>79</v>
      </c>
      <c r="J516" s="5" t="s">
        <v>80</v>
      </c>
      <c r="K516" s="5" t="s">
        <v>972</v>
      </c>
      <c r="L516" s="6">
        <v>38098</v>
      </c>
    </row>
    <row r="517" spans="1:12" x14ac:dyDescent="0.25">
      <c r="A517" s="5">
        <v>516</v>
      </c>
      <c r="B517" s="5" t="s">
        <v>161</v>
      </c>
      <c r="C517" s="5" t="s">
        <v>75</v>
      </c>
      <c r="D517" s="5" t="s">
        <v>35</v>
      </c>
      <c r="E517" s="5" t="s">
        <v>126</v>
      </c>
      <c r="F517" s="5" t="s">
        <v>1065</v>
      </c>
      <c r="G517" s="5">
        <v>8494875775</v>
      </c>
      <c r="H517" s="5" t="s">
        <v>1066</v>
      </c>
      <c r="I517" s="5" t="s">
        <v>79</v>
      </c>
      <c r="J517" s="5" t="s">
        <v>80</v>
      </c>
      <c r="K517" s="5" t="s">
        <v>90</v>
      </c>
      <c r="L517" s="6">
        <v>38038</v>
      </c>
    </row>
    <row r="518" spans="1:12" x14ac:dyDescent="0.25">
      <c r="A518" s="5">
        <v>517</v>
      </c>
      <c r="B518" s="5" t="s">
        <v>144</v>
      </c>
      <c r="C518" s="5" t="s">
        <v>83</v>
      </c>
      <c r="D518" s="5" t="s">
        <v>35</v>
      </c>
      <c r="E518" s="5" t="s">
        <v>1016</v>
      </c>
      <c r="F518" s="5" t="s">
        <v>1001</v>
      </c>
      <c r="G518" s="5">
        <v>8957340846</v>
      </c>
      <c r="H518" s="5" t="s">
        <v>1067</v>
      </c>
      <c r="I518" s="5" t="s">
        <v>79</v>
      </c>
      <c r="J518" s="5" t="s">
        <v>80</v>
      </c>
      <c r="K518" s="5" t="s">
        <v>998</v>
      </c>
      <c r="L518" s="6">
        <v>38052</v>
      </c>
    </row>
    <row r="519" spans="1:12" x14ac:dyDescent="0.25">
      <c r="A519" s="5">
        <v>518</v>
      </c>
      <c r="B519" s="5" t="s">
        <v>486</v>
      </c>
      <c r="C519" s="5" t="s">
        <v>75</v>
      </c>
      <c r="D519" s="5" t="s">
        <v>35</v>
      </c>
      <c r="E519" s="5" t="s">
        <v>126</v>
      </c>
      <c r="F519" s="5" t="s">
        <v>982</v>
      </c>
      <c r="G519" s="5">
        <v>8080543648</v>
      </c>
      <c r="H519" s="5" t="s">
        <v>1068</v>
      </c>
      <c r="I519" s="5" t="s">
        <v>79</v>
      </c>
      <c r="J519" s="5" t="s">
        <v>80</v>
      </c>
      <c r="K519" s="5" t="s">
        <v>90</v>
      </c>
      <c r="L519" s="6">
        <v>38013</v>
      </c>
    </row>
    <row r="520" spans="1:12" x14ac:dyDescent="0.25">
      <c r="A520" s="5">
        <v>519</v>
      </c>
      <c r="B520" s="5" t="s">
        <v>195</v>
      </c>
      <c r="C520" s="5" t="s">
        <v>83</v>
      </c>
      <c r="D520" s="5" t="s">
        <v>35</v>
      </c>
      <c r="E520" s="5" t="s">
        <v>1008</v>
      </c>
      <c r="F520" s="5" t="s">
        <v>1069</v>
      </c>
      <c r="G520" s="5">
        <v>7784235890</v>
      </c>
      <c r="H520" s="5" t="s">
        <v>1070</v>
      </c>
      <c r="I520" s="5" t="s">
        <v>79</v>
      </c>
      <c r="J520" s="5" t="s">
        <v>80</v>
      </c>
      <c r="K520" s="5" t="s">
        <v>998</v>
      </c>
      <c r="L520" s="6">
        <v>38068</v>
      </c>
    </row>
    <row r="521" spans="1:12" x14ac:dyDescent="0.25">
      <c r="A521" s="5">
        <v>520</v>
      </c>
      <c r="B521" s="5" t="s">
        <v>233</v>
      </c>
      <c r="C521" s="5" t="s">
        <v>75</v>
      </c>
      <c r="D521" s="5" t="s">
        <v>35</v>
      </c>
      <c r="E521" s="5" t="s">
        <v>991</v>
      </c>
      <c r="F521" s="5" t="s">
        <v>1071</v>
      </c>
      <c r="G521" s="5">
        <v>8889720147</v>
      </c>
      <c r="H521" s="5" t="s">
        <v>971</v>
      </c>
      <c r="I521" s="5" t="s">
        <v>79</v>
      </c>
      <c r="J521" s="5" t="s">
        <v>80</v>
      </c>
      <c r="K521" s="5" t="s">
        <v>994</v>
      </c>
      <c r="L521" s="6">
        <v>38012</v>
      </c>
    </row>
    <row r="522" spans="1:12" x14ac:dyDescent="0.25">
      <c r="A522" s="5">
        <v>521</v>
      </c>
      <c r="B522" s="5" t="s">
        <v>265</v>
      </c>
      <c r="C522" s="5" t="s">
        <v>83</v>
      </c>
      <c r="D522" s="5" t="s">
        <v>35</v>
      </c>
      <c r="E522" s="5" t="s">
        <v>92</v>
      </c>
      <c r="F522" s="5" t="s">
        <v>1072</v>
      </c>
      <c r="G522" s="5">
        <v>9128638455</v>
      </c>
      <c r="H522" s="5" t="s">
        <v>1073</v>
      </c>
      <c r="I522" s="5" t="s">
        <v>79</v>
      </c>
      <c r="J522" s="5" t="s">
        <v>80</v>
      </c>
      <c r="K522" s="5" t="s">
        <v>81</v>
      </c>
      <c r="L522" s="6">
        <v>38009</v>
      </c>
    </row>
    <row r="523" spans="1:12" x14ac:dyDescent="0.25">
      <c r="A523" s="5">
        <v>522</v>
      </c>
      <c r="B523" s="5" t="s">
        <v>387</v>
      </c>
      <c r="C523" s="5" t="s">
        <v>75</v>
      </c>
      <c r="D523" s="5" t="s">
        <v>35</v>
      </c>
      <c r="E523" s="5" t="s">
        <v>1016</v>
      </c>
      <c r="F523" s="5" t="s">
        <v>1074</v>
      </c>
      <c r="G523" s="5">
        <v>6421073406</v>
      </c>
      <c r="H523" s="5" t="s">
        <v>1075</v>
      </c>
      <c r="I523" s="5" t="s">
        <v>79</v>
      </c>
      <c r="J523" s="5" t="s">
        <v>80</v>
      </c>
      <c r="K523" s="5" t="s">
        <v>998</v>
      </c>
      <c r="L523" s="6">
        <v>38316</v>
      </c>
    </row>
    <row r="524" spans="1:12" x14ac:dyDescent="0.25">
      <c r="A524" s="5">
        <v>523</v>
      </c>
      <c r="B524" s="5" t="s">
        <v>550</v>
      </c>
      <c r="C524" s="5" t="s">
        <v>83</v>
      </c>
      <c r="D524" s="5" t="s">
        <v>35</v>
      </c>
      <c r="E524" s="5" t="s">
        <v>969</v>
      </c>
      <c r="F524" s="5" t="s">
        <v>1076</v>
      </c>
      <c r="G524" s="5">
        <v>6536024643</v>
      </c>
      <c r="H524" s="5" t="s">
        <v>1077</v>
      </c>
      <c r="I524" s="5" t="s">
        <v>79</v>
      </c>
      <c r="J524" s="5" t="s">
        <v>80</v>
      </c>
      <c r="K524" s="5" t="s">
        <v>972</v>
      </c>
      <c r="L524" s="6">
        <v>38009</v>
      </c>
    </row>
    <row r="525" spans="1:12" x14ac:dyDescent="0.25">
      <c r="A525" s="5">
        <v>524</v>
      </c>
      <c r="B525" s="5" t="s">
        <v>116</v>
      </c>
      <c r="C525" s="5" t="s">
        <v>75</v>
      </c>
      <c r="D525" s="5" t="s">
        <v>35</v>
      </c>
      <c r="E525" s="5" t="s">
        <v>397</v>
      </c>
      <c r="F525" s="5" t="s">
        <v>1078</v>
      </c>
      <c r="G525" s="5">
        <v>6580546701</v>
      </c>
      <c r="H525" s="5" t="s">
        <v>1079</v>
      </c>
      <c r="I525" s="5" t="s">
        <v>79</v>
      </c>
      <c r="J525" s="5" t="s">
        <v>80</v>
      </c>
      <c r="K525" s="5" t="s">
        <v>400</v>
      </c>
      <c r="L525" s="6">
        <v>38049</v>
      </c>
    </row>
    <row r="526" spans="1:12" x14ac:dyDescent="0.25">
      <c r="A526" s="5">
        <v>525</v>
      </c>
      <c r="B526" s="5" t="s">
        <v>147</v>
      </c>
      <c r="C526" s="5" t="s">
        <v>75</v>
      </c>
      <c r="D526" s="5" t="s">
        <v>35</v>
      </c>
      <c r="E526" s="5" t="s">
        <v>1016</v>
      </c>
      <c r="F526" s="5" t="s">
        <v>1080</v>
      </c>
      <c r="G526" s="5">
        <v>9879472119</v>
      </c>
      <c r="H526" s="5" t="s">
        <v>1081</v>
      </c>
      <c r="I526" s="5" t="s">
        <v>79</v>
      </c>
      <c r="J526" s="5" t="s">
        <v>80</v>
      </c>
      <c r="K526" s="5" t="s">
        <v>998</v>
      </c>
      <c r="L526" s="6">
        <v>38125</v>
      </c>
    </row>
    <row r="527" spans="1:12" x14ac:dyDescent="0.25">
      <c r="A527" s="5">
        <v>526</v>
      </c>
      <c r="B527" s="5" t="s">
        <v>748</v>
      </c>
      <c r="C527" s="5" t="s">
        <v>75</v>
      </c>
      <c r="D527" s="5" t="s">
        <v>35</v>
      </c>
      <c r="E527" s="5" t="s">
        <v>995</v>
      </c>
      <c r="F527" s="5" t="s">
        <v>1082</v>
      </c>
      <c r="G527" s="5">
        <v>6313573723</v>
      </c>
      <c r="H527" s="5" t="s">
        <v>1083</v>
      </c>
      <c r="I527" s="5" t="s">
        <v>79</v>
      </c>
      <c r="J527" s="5" t="s">
        <v>129</v>
      </c>
      <c r="K527" s="5" t="s">
        <v>998</v>
      </c>
      <c r="L527" s="6">
        <v>38257</v>
      </c>
    </row>
    <row r="528" spans="1:12" x14ac:dyDescent="0.25">
      <c r="A528" s="5">
        <v>527</v>
      </c>
      <c r="B528" s="5" t="s">
        <v>191</v>
      </c>
      <c r="C528" s="5" t="s">
        <v>75</v>
      </c>
      <c r="D528" s="5" t="s">
        <v>35</v>
      </c>
      <c r="E528" s="5" t="s">
        <v>977</v>
      </c>
      <c r="F528" s="5" t="s">
        <v>1084</v>
      </c>
      <c r="G528" s="5">
        <v>8465363019</v>
      </c>
      <c r="H528" s="5" t="s">
        <v>1085</v>
      </c>
      <c r="I528" s="5" t="s">
        <v>79</v>
      </c>
      <c r="J528" s="5" t="s">
        <v>80</v>
      </c>
      <c r="K528" s="5" t="s">
        <v>972</v>
      </c>
      <c r="L528" s="6">
        <v>38144</v>
      </c>
    </row>
    <row r="529" spans="1:12" x14ac:dyDescent="0.25">
      <c r="A529" s="5">
        <v>528</v>
      </c>
      <c r="B529" s="5" t="s">
        <v>457</v>
      </c>
      <c r="C529" s="5" t="s">
        <v>75</v>
      </c>
      <c r="D529" s="5" t="s">
        <v>35</v>
      </c>
      <c r="E529" s="5" t="s">
        <v>1008</v>
      </c>
      <c r="F529" s="5" t="s">
        <v>1086</v>
      </c>
      <c r="G529" s="5">
        <v>6697096563</v>
      </c>
      <c r="H529" s="5" t="s">
        <v>1087</v>
      </c>
      <c r="I529" s="5" t="s">
        <v>79</v>
      </c>
      <c r="J529" s="5" t="s">
        <v>80</v>
      </c>
      <c r="K529" s="5" t="s">
        <v>998</v>
      </c>
      <c r="L529" s="6">
        <v>38339</v>
      </c>
    </row>
    <row r="530" spans="1:12" x14ac:dyDescent="0.25">
      <c r="A530" s="5">
        <v>529</v>
      </c>
      <c r="B530" s="5" t="s">
        <v>550</v>
      </c>
      <c r="C530" s="5" t="s">
        <v>75</v>
      </c>
      <c r="D530" s="5" t="s">
        <v>35</v>
      </c>
      <c r="E530" s="5" t="s">
        <v>1016</v>
      </c>
      <c r="F530" s="5" t="s">
        <v>1076</v>
      </c>
      <c r="G530" s="5">
        <v>6637473924</v>
      </c>
      <c r="H530" s="5" t="s">
        <v>1088</v>
      </c>
      <c r="I530" s="5" t="s">
        <v>79</v>
      </c>
      <c r="J530" s="5" t="s">
        <v>80</v>
      </c>
      <c r="K530" s="5" t="s">
        <v>998</v>
      </c>
      <c r="L530" s="6">
        <v>38068</v>
      </c>
    </row>
    <row r="531" spans="1:12" x14ac:dyDescent="0.25">
      <c r="A531" s="5">
        <v>530</v>
      </c>
      <c r="B531" s="5" t="s">
        <v>82</v>
      </c>
      <c r="C531" s="5" t="s">
        <v>83</v>
      </c>
      <c r="D531" s="5" t="s">
        <v>35</v>
      </c>
      <c r="E531" s="5" t="s">
        <v>995</v>
      </c>
      <c r="F531" s="5" t="s">
        <v>1063</v>
      </c>
      <c r="G531" s="5">
        <v>8705765209</v>
      </c>
      <c r="H531" s="5" t="s">
        <v>1089</v>
      </c>
      <c r="I531" s="5" t="s">
        <v>79</v>
      </c>
      <c r="J531" s="5" t="s">
        <v>80</v>
      </c>
      <c r="K531" s="5" t="s">
        <v>998</v>
      </c>
      <c r="L531" s="6">
        <v>37998</v>
      </c>
    </row>
    <row r="532" spans="1:12" x14ac:dyDescent="0.25">
      <c r="A532" s="5">
        <v>531</v>
      </c>
      <c r="B532" s="5" t="s">
        <v>198</v>
      </c>
      <c r="C532" s="5" t="s">
        <v>75</v>
      </c>
      <c r="D532" s="5" t="s">
        <v>35</v>
      </c>
      <c r="E532" s="5" t="s">
        <v>1008</v>
      </c>
      <c r="F532" s="5" t="s">
        <v>1058</v>
      </c>
      <c r="G532" s="5">
        <v>9702695951</v>
      </c>
      <c r="H532" s="5" t="s">
        <v>1090</v>
      </c>
      <c r="I532" s="5" t="s">
        <v>79</v>
      </c>
      <c r="J532" s="5" t="s">
        <v>80</v>
      </c>
      <c r="K532" s="5" t="s">
        <v>998</v>
      </c>
      <c r="L532" s="6">
        <v>38327</v>
      </c>
    </row>
    <row r="533" spans="1:12" x14ac:dyDescent="0.25">
      <c r="A533" s="5">
        <v>532</v>
      </c>
      <c r="B533" s="5" t="s">
        <v>328</v>
      </c>
      <c r="C533" s="5" t="s">
        <v>83</v>
      </c>
      <c r="D533" s="5" t="s">
        <v>35</v>
      </c>
      <c r="E533" s="5" t="s">
        <v>1016</v>
      </c>
      <c r="F533" s="5" t="s">
        <v>1009</v>
      </c>
      <c r="G533" s="5">
        <v>8833978428</v>
      </c>
      <c r="H533" s="5" t="s">
        <v>1091</v>
      </c>
      <c r="I533" s="5" t="s">
        <v>79</v>
      </c>
      <c r="J533" s="5" t="s">
        <v>80</v>
      </c>
      <c r="K533" s="5" t="s">
        <v>998</v>
      </c>
      <c r="L533" s="6">
        <v>38335</v>
      </c>
    </row>
    <row r="534" spans="1:12" x14ac:dyDescent="0.25">
      <c r="A534" s="5">
        <v>533</v>
      </c>
      <c r="B534" s="5" t="s">
        <v>171</v>
      </c>
      <c r="C534" s="5" t="s">
        <v>83</v>
      </c>
      <c r="D534" s="5" t="s">
        <v>35</v>
      </c>
      <c r="E534" s="5" t="s">
        <v>1008</v>
      </c>
      <c r="F534" s="5" t="s">
        <v>1092</v>
      </c>
      <c r="G534" s="5">
        <v>9327683820</v>
      </c>
      <c r="H534" s="5" t="s">
        <v>1093</v>
      </c>
      <c r="I534" s="5" t="s">
        <v>79</v>
      </c>
      <c r="J534" s="5" t="s">
        <v>80</v>
      </c>
      <c r="K534" s="5" t="s">
        <v>998</v>
      </c>
      <c r="L534" s="6">
        <v>38273</v>
      </c>
    </row>
    <row r="535" spans="1:12" x14ac:dyDescent="0.25">
      <c r="A535" s="5">
        <v>534</v>
      </c>
      <c r="B535" s="5" t="s">
        <v>91</v>
      </c>
      <c r="C535" s="5" t="s">
        <v>75</v>
      </c>
      <c r="D535" s="5" t="s">
        <v>35</v>
      </c>
      <c r="E535" s="5" t="s">
        <v>1011</v>
      </c>
      <c r="F535" s="5" t="s">
        <v>1094</v>
      </c>
      <c r="G535" s="5">
        <v>8989857434</v>
      </c>
      <c r="H535" s="5" t="s">
        <v>1095</v>
      </c>
      <c r="I535" s="5" t="s">
        <v>79</v>
      </c>
      <c r="J535" s="5" t="s">
        <v>80</v>
      </c>
      <c r="K535" s="5" t="s">
        <v>994</v>
      </c>
      <c r="L535" s="6">
        <v>38172</v>
      </c>
    </row>
    <row r="536" spans="1:12" x14ac:dyDescent="0.25">
      <c r="A536" s="5">
        <v>535</v>
      </c>
      <c r="B536" s="5" t="s">
        <v>239</v>
      </c>
      <c r="C536" s="5" t="s">
        <v>75</v>
      </c>
      <c r="D536" s="5" t="s">
        <v>35</v>
      </c>
      <c r="E536" s="5" t="s">
        <v>991</v>
      </c>
      <c r="F536" s="5" t="s">
        <v>1096</v>
      </c>
      <c r="G536" s="5">
        <v>6223239748</v>
      </c>
      <c r="H536" s="5" t="s">
        <v>1097</v>
      </c>
      <c r="I536" s="5" t="s">
        <v>79</v>
      </c>
      <c r="J536" s="5" t="s">
        <v>80</v>
      </c>
      <c r="K536" s="5" t="s">
        <v>994</v>
      </c>
      <c r="L536" s="6">
        <v>38332</v>
      </c>
    </row>
    <row r="537" spans="1:12" x14ac:dyDescent="0.25">
      <c r="A537" s="5">
        <v>536</v>
      </c>
      <c r="B537" s="5" t="s">
        <v>177</v>
      </c>
      <c r="C537" s="5" t="s">
        <v>75</v>
      </c>
      <c r="D537" s="5" t="s">
        <v>35</v>
      </c>
      <c r="E537" s="5" t="s">
        <v>984</v>
      </c>
      <c r="F537" s="5" t="s">
        <v>1098</v>
      </c>
      <c r="G537" s="5">
        <v>7636017948</v>
      </c>
      <c r="H537" s="5" t="s">
        <v>1099</v>
      </c>
      <c r="I537" s="5" t="s">
        <v>79</v>
      </c>
      <c r="J537" s="5" t="s">
        <v>112</v>
      </c>
      <c r="K537" s="5" t="s">
        <v>972</v>
      </c>
      <c r="L537" s="6">
        <v>38079</v>
      </c>
    </row>
    <row r="538" spans="1:12" x14ac:dyDescent="0.25">
      <c r="A538" s="5">
        <v>537</v>
      </c>
      <c r="B538" s="5" t="s">
        <v>122</v>
      </c>
      <c r="C538" s="5" t="s">
        <v>75</v>
      </c>
      <c r="D538" s="5" t="s">
        <v>35</v>
      </c>
      <c r="E538" s="5" t="s">
        <v>1008</v>
      </c>
      <c r="F538" s="5" t="s">
        <v>1021</v>
      </c>
      <c r="G538" s="5">
        <v>6932043187</v>
      </c>
      <c r="H538" s="5" t="s">
        <v>1100</v>
      </c>
      <c r="I538" s="5" t="s">
        <v>79</v>
      </c>
      <c r="J538" s="5" t="s">
        <v>129</v>
      </c>
      <c r="K538" s="5" t="s">
        <v>998</v>
      </c>
      <c r="L538" s="6">
        <v>38278</v>
      </c>
    </row>
    <row r="539" spans="1:12" x14ac:dyDescent="0.25">
      <c r="A539" s="5">
        <v>538</v>
      </c>
      <c r="B539" s="5" t="s">
        <v>144</v>
      </c>
      <c r="C539" s="5" t="s">
        <v>83</v>
      </c>
      <c r="D539" s="5" t="s">
        <v>35</v>
      </c>
      <c r="E539" s="5" t="s">
        <v>1011</v>
      </c>
      <c r="F539" s="5" t="s">
        <v>1001</v>
      </c>
      <c r="G539" s="5">
        <v>6787829213</v>
      </c>
      <c r="H539" s="5" t="s">
        <v>1101</v>
      </c>
      <c r="I539" s="5" t="s">
        <v>79</v>
      </c>
      <c r="J539" s="5" t="s">
        <v>80</v>
      </c>
      <c r="K539" s="5" t="s">
        <v>994</v>
      </c>
      <c r="L539" s="6">
        <v>38212</v>
      </c>
    </row>
    <row r="540" spans="1:12" x14ac:dyDescent="0.25">
      <c r="A540" s="5">
        <v>539</v>
      </c>
      <c r="B540" s="5" t="s">
        <v>550</v>
      </c>
      <c r="C540" s="5" t="s">
        <v>83</v>
      </c>
      <c r="D540" s="5" t="s">
        <v>35</v>
      </c>
      <c r="E540" s="5" t="s">
        <v>1016</v>
      </c>
      <c r="F540" s="5" t="s">
        <v>1076</v>
      </c>
      <c r="G540" s="5">
        <v>9119463658</v>
      </c>
      <c r="H540" s="5" t="s">
        <v>1102</v>
      </c>
      <c r="I540" s="5" t="s">
        <v>79</v>
      </c>
      <c r="J540" s="5" t="s">
        <v>80</v>
      </c>
      <c r="K540" s="5" t="s">
        <v>998</v>
      </c>
      <c r="L540" s="6">
        <v>38039</v>
      </c>
    </row>
    <row r="541" spans="1:12" x14ac:dyDescent="0.25">
      <c r="A541" s="5">
        <v>540</v>
      </c>
      <c r="B541" s="5" t="s">
        <v>86</v>
      </c>
      <c r="C541" s="5" t="s">
        <v>75</v>
      </c>
      <c r="D541" s="5" t="s">
        <v>35</v>
      </c>
      <c r="E541" s="5" t="s">
        <v>977</v>
      </c>
      <c r="F541" s="5" t="s">
        <v>1103</v>
      </c>
      <c r="G541" s="5">
        <v>7543186881</v>
      </c>
      <c r="H541" s="5" t="s">
        <v>1104</v>
      </c>
      <c r="I541" s="5" t="s">
        <v>79</v>
      </c>
      <c r="J541" s="5" t="s">
        <v>80</v>
      </c>
      <c r="K541" s="5" t="s">
        <v>972</v>
      </c>
      <c r="L541" s="6">
        <v>38088</v>
      </c>
    </row>
    <row r="542" spans="1:12" x14ac:dyDescent="0.25">
      <c r="A542" s="5">
        <v>541</v>
      </c>
      <c r="B542" s="5" t="s">
        <v>151</v>
      </c>
      <c r="C542" s="5" t="s">
        <v>75</v>
      </c>
      <c r="D542" s="5" t="s">
        <v>35</v>
      </c>
      <c r="E542" s="5" t="s">
        <v>117</v>
      </c>
      <c r="F542" s="5" t="s">
        <v>1105</v>
      </c>
      <c r="G542" s="5">
        <v>8345435069</v>
      </c>
      <c r="H542" s="5" t="s">
        <v>1106</v>
      </c>
      <c r="I542" s="5" t="s">
        <v>79</v>
      </c>
      <c r="J542" s="5" t="s">
        <v>80</v>
      </c>
      <c r="K542" s="5" t="s">
        <v>90</v>
      </c>
      <c r="L542" s="6">
        <v>37997</v>
      </c>
    </row>
    <row r="543" spans="1:12" x14ac:dyDescent="0.25">
      <c r="A543" s="5">
        <v>542</v>
      </c>
      <c r="B543" s="5" t="s">
        <v>393</v>
      </c>
      <c r="C543" s="5" t="s">
        <v>83</v>
      </c>
      <c r="D543" s="5" t="s">
        <v>35</v>
      </c>
      <c r="E543" s="5" t="s">
        <v>984</v>
      </c>
      <c r="F543" s="5" t="s">
        <v>1053</v>
      </c>
      <c r="G543" s="5">
        <v>8990199298</v>
      </c>
      <c r="H543" s="5" t="s">
        <v>1107</v>
      </c>
      <c r="I543" s="5" t="s">
        <v>79</v>
      </c>
      <c r="J543" s="5" t="s">
        <v>80</v>
      </c>
      <c r="K543" s="5" t="s">
        <v>972</v>
      </c>
      <c r="L543" s="6">
        <v>38072</v>
      </c>
    </row>
    <row r="544" spans="1:12" x14ac:dyDescent="0.25">
      <c r="A544" s="5">
        <v>543</v>
      </c>
      <c r="B544" s="5" t="s">
        <v>762</v>
      </c>
      <c r="C544" s="5" t="s">
        <v>83</v>
      </c>
      <c r="D544" s="5" t="s">
        <v>35</v>
      </c>
      <c r="E544" s="5" t="s">
        <v>1005</v>
      </c>
      <c r="F544" s="5" t="s">
        <v>1108</v>
      </c>
      <c r="G544" s="5">
        <v>9481003902</v>
      </c>
      <c r="H544" s="5" t="s">
        <v>1109</v>
      </c>
      <c r="I544" s="5" t="s">
        <v>79</v>
      </c>
      <c r="J544" s="5" t="s">
        <v>80</v>
      </c>
      <c r="K544" s="5" t="s">
        <v>994</v>
      </c>
      <c r="L544" s="6">
        <v>38306</v>
      </c>
    </row>
    <row r="545" spans="1:12" x14ac:dyDescent="0.25">
      <c r="A545" s="5">
        <v>544</v>
      </c>
      <c r="B545" s="5" t="s">
        <v>98</v>
      </c>
      <c r="C545" s="5" t="s">
        <v>75</v>
      </c>
      <c r="D545" s="5" t="s">
        <v>35</v>
      </c>
      <c r="E545" s="5" t="s">
        <v>1034</v>
      </c>
      <c r="F545" s="5" t="s">
        <v>978</v>
      </c>
      <c r="G545" s="5">
        <v>6824370882</v>
      </c>
      <c r="H545" s="5" t="s">
        <v>1110</v>
      </c>
      <c r="I545" s="5" t="s">
        <v>79</v>
      </c>
      <c r="J545" s="5" t="s">
        <v>112</v>
      </c>
      <c r="K545" s="5" t="s">
        <v>994</v>
      </c>
      <c r="L545" s="6">
        <v>38156</v>
      </c>
    </row>
    <row r="546" spans="1:12" x14ac:dyDescent="0.25">
      <c r="A546" s="5">
        <v>545</v>
      </c>
      <c r="B546" s="5" t="s">
        <v>387</v>
      </c>
      <c r="C546" s="5" t="s">
        <v>75</v>
      </c>
      <c r="D546" s="5" t="s">
        <v>35</v>
      </c>
      <c r="E546" s="5" t="s">
        <v>467</v>
      </c>
      <c r="F546" s="5" t="s">
        <v>1074</v>
      </c>
      <c r="G546" s="5">
        <v>9104657822</v>
      </c>
      <c r="H546" s="5" t="s">
        <v>1111</v>
      </c>
      <c r="I546" s="5" t="s">
        <v>79</v>
      </c>
      <c r="J546" s="5" t="s">
        <v>112</v>
      </c>
      <c r="K546" s="5" t="s">
        <v>400</v>
      </c>
      <c r="L546" s="6">
        <v>38024</v>
      </c>
    </row>
    <row r="547" spans="1:12" x14ac:dyDescent="0.25">
      <c r="A547" s="5">
        <v>546</v>
      </c>
      <c r="B547" s="5" t="s">
        <v>384</v>
      </c>
      <c r="C547" s="5" t="s">
        <v>75</v>
      </c>
      <c r="D547" s="5" t="s">
        <v>35</v>
      </c>
      <c r="E547" s="5" t="s">
        <v>1008</v>
      </c>
      <c r="F547" s="5" t="s">
        <v>1024</v>
      </c>
      <c r="G547" s="5">
        <v>8040752276</v>
      </c>
      <c r="H547" s="5" t="s">
        <v>1112</v>
      </c>
      <c r="I547" s="5" t="s">
        <v>79</v>
      </c>
      <c r="J547" s="5" t="s">
        <v>80</v>
      </c>
      <c r="K547" s="5" t="s">
        <v>998</v>
      </c>
      <c r="L547" s="6">
        <v>38300</v>
      </c>
    </row>
    <row r="548" spans="1:12" x14ac:dyDescent="0.25">
      <c r="A548" s="5">
        <v>547</v>
      </c>
      <c r="B548" s="5" t="s">
        <v>360</v>
      </c>
      <c r="C548" s="5" t="s">
        <v>75</v>
      </c>
      <c r="D548" s="5" t="s">
        <v>35</v>
      </c>
      <c r="E548" s="5" t="s">
        <v>1016</v>
      </c>
      <c r="F548" s="5" t="s">
        <v>987</v>
      </c>
      <c r="G548" s="5">
        <v>6459735992</v>
      </c>
      <c r="H548" s="5" t="s">
        <v>1113</v>
      </c>
      <c r="I548" s="5" t="s">
        <v>79</v>
      </c>
      <c r="J548" s="5" t="s">
        <v>129</v>
      </c>
      <c r="K548" s="5" t="s">
        <v>998</v>
      </c>
      <c r="L548" s="6">
        <v>38070</v>
      </c>
    </row>
    <row r="549" spans="1:12" x14ac:dyDescent="0.25">
      <c r="A549" s="5">
        <v>548</v>
      </c>
      <c r="B549" s="5" t="s">
        <v>215</v>
      </c>
      <c r="C549" s="5" t="s">
        <v>75</v>
      </c>
      <c r="D549" s="5" t="s">
        <v>35</v>
      </c>
      <c r="E549" s="5" t="s">
        <v>87</v>
      </c>
      <c r="F549" s="5" t="s">
        <v>1030</v>
      </c>
      <c r="G549" s="5">
        <v>9795897814</v>
      </c>
      <c r="H549" s="5" t="s">
        <v>1114</v>
      </c>
      <c r="I549" s="5" t="s">
        <v>79</v>
      </c>
      <c r="J549" s="5" t="s">
        <v>129</v>
      </c>
      <c r="K549" s="5" t="s">
        <v>90</v>
      </c>
      <c r="L549" s="6">
        <v>38098</v>
      </c>
    </row>
    <row r="550" spans="1:12" x14ac:dyDescent="0.25">
      <c r="A550" s="5">
        <v>549</v>
      </c>
      <c r="B550" s="5" t="s">
        <v>171</v>
      </c>
      <c r="C550" s="5" t="s">
        <v>83</v>
      </c>
      <c r="D550" s="5" t="s">
        <v>35</v>
      </c>
      <c r="E550" s="5" t="s">
        <v>1008</v>
      </c>
      <c r="F550" s="5" t="s">
        <v>1092</v>
      </c>
      <c r="G550" s="5">
        <v>7408224785</v>
      </c>
      <c r="H550" s="5" t="s">
        <v>983</v>
      </c>
      <c r="I550" s="5" t="s">
        <v>79</v>
      </c>
      <c r="J550" s="5" t="s">
        <v>80</v>
      </c>
      <c r="K550" s="5" t="s">
        <v>998</v>
      </c>
      <c r="L550" s="6">
        <v>38159</v>
      </c>
    </row>
    <row r="551" spans="1:12" x14ac:dyDescent="0.25">
      <c r="A551" s="5">
        <v>550</v>
      </c>
      <c r="B551" s="5" t="s">
        <v>748</v>
      </c>
      <c r="C551" s="5" t="s">
        <v>75</v>
      </c>
      <c r="D551" s="5" t="s">
        <v>35</v>
      </c>
      <c r="E551" s="5" t="s">
        <v>984</v>
      </c>
      <c r="F551" s="5" t="s">
        <v>1082</v>
      </c>
      <c r="G551" s="5">
        <v>8030308991</v>
      </c>
      <c r="H551" s="5" t="s">
        <v>1114</v>
      </c>
      <c r="I551" s="5" t="s">
        <v>79</v>
      </c>
      <c r="J551" s="5" t="s">
        <v>129</v>
      </c>
      <c r="K551" s="5" t="s">
        <v>972</v>
      </c>
      <c r="L551" s="6">
        <v>38195</v>
      </c>
    </row>
    <row r="552" spans="1:12" x14ac:dyDescent="0.25">
      <c r="A552" s="5">
        <v>551</v>
      </c>
      <c r="B552" s="5" t="s">
        <v>732</v>
      </c>
      <c r="C552" s="5" t="s">
        <v>75</v>
      </c>
      <c r="D552" s="5" t="s">
        <v>35</v>
      </c>
      <c r="E552" s="5" t="s">
        <v>1008</v>
      </c>
      <c r="F552" s="5" t="s">
        <v>1115</v>
      </c>
      <c r="G552" s="5">
        <v>6359178817</v>
      </c>
      <c r="H552" s="5" t="s">
        <v>1116</v>
      </c>
      <c r="I552" s="5" t="s">
        <v>79</v>
      </c>
      <c r="J552" s="5" t="s">
        <v>80</v>
      </c>
      <c r="K552" s="5" t="s">
        <v>998</v>
      </c>
      <c r="L552" s="6">
        <v>38174</v>
      </c>
    </row>
    <row r="553" spans="1:12" x14ac:dyDescent="0.25">
      <c r="A553" s="5">
        <v>552</v>
      </c>
      <c r="B553" s="5" t="s">
        <v>550</v>
      </c>
      <c r="C553" s="5" t="s">
        <v>83</v>
      </c>
      <c r="D553" s="5" t="s">
        <v>35</v>
      </c>
      <c r="E553" s="5" t="s">
        <v>1005</v>
      </c>
      <c r="F553" s="5" t="s">
        <v>1076</v>
      </c>
      <c r="G553" s="5">
        <v>6405918314</v>
      </c>
      <c r="H553" s="5" t="s">
        <v>1117</v>
      </c>
      <c r="I553" s="5" t="s">
        <v>79</v>
      </c>
      <c r="J553" s="5" t="s">
        <v>80</v>
      </c>
      <c r="K553" s="5" t="s">
        <v>994</v>
      </c>
      <c r="L553" s="6">
        <v>38191</v>
      </c>
    </row>
    <row r="554" spans="1:12" x14ac:dyDescent="0.25">
      <c r="A554" s="5">
        <v>553</v>
      </c>
      <c r="B554" s="5" t="s">
        <v>350</v>
      </c>
      <c r="C554" s="5" t="s">
        <v>75</v>
      </c>
      <c r="D554" s="5" t="s">
        <v>35</v>
      </c>
      <c r="E554" s="5" t="s">
        <v>984</v>
      </c>
      <c r="F554" s="5" t="s">
        <v>1118</v>
      </c>
      <c r="G554" s="5">
        <v>9543145460</v>
      </c>
      <c r="H554" s="5" t="s">
        <v>1119</v>
      </c>
      <c r="I554" s="5" t="s">
        <v>79</v>
      </c>
      <c r="J554" s="5" t="s">
        <v>80</v>
      </c>
      <c r="K554" s="5" t="s">
        <v>972</v>
      </c>
      <c r="L554" s="6">
        <v>38277</v>
      </c>
    </row>
    <row r="555" spans="1:12" x14ac:dyDescent="0.25">
      <c r="A555" s="5">
        <v>554</v>
      </c>
      <c r="B555" s="5" t="s">
        <v>144</v>
      </c>
      <c r="C555" s="5" t="s">
        <v>75</v>
      </c>
      <c r="D555" s="5" t="s">
        <v>35</v>
      </c>
      <c r="E555" s="5" t="s">
        <v>403</v>
      </c>
      <c r="F555" s="5" t="s">
        <v>1001</v>
      </c>
      <c r="G555" s="5">
        <v>7270925058</v>
      </c>
      <c r="H555" s="5" t="s">
        <v>1120</v>
      </c>
      <c r="I555" s="5" t="s">
        <v>79</v>
      </c>
      <c r="J555" s="5" t="s">
        <v>80</v>
      </c>
      <c r="K555" s="5" t="s">
        <v>400</v>
      </c>
      <c r="L555" s="6">
        <v>38208</v>
      </c>
    </row>
    <row r="556" spans="1:12" x14ac:dyDescent="0.25">
      <c r="A556" s="5">
        <v>555</v>
      </c>
      <c r="B556" s="5" t="s">
        <v>600</v>
      </c>
      <c r="C556" s="5" t="s">
        <v>83</v>
      </c>
      <c r="D556" s="5" t="s">
        <v>35</v>
      </c>
      <c r="E556" s="5" t="s">
        <v>1008</v>
      </c>
      <c r="F556" s="5" t="s">
        <v>1121</v>
      </c>
      <c r="G556" s="5">
        <v>7082809211</v>
      </c>
      <c r="H556" s="5" t="s">
        <v>1122</v>
      </c>
      <c r="I556" s="5" t="s">
        <v>79</v>
      </c>
      <c r="J556" s="5" t="s">
        <v>80</v>
      </c>
      <c r="K556" s="5" t="s">
        <v>998</v>
      </c>
      <c r="L556" s="6">
        <v>38300</v>
      </c>
    </row>
    <row r="557" spans="1:12" x14ac:dyDescent="0.25">
      <c r="A557" s="5">
        <v>556</v>
      </c>
      <c r="B557" s="5" t="s">
        <v>357</v>
      </c>
      <c r="C557" s="5" t="s">
        <v>75</v>
      </c>
      <c r="D557" s="5" t="s">
        <v>35</v>
      </c>
      <c r="E557" s="5" t="s">
        <v>126</v>
      </c>
      <c r="F557" s="5" t="s">
        <v>1123</v>
      </c>
      <c r="G557" s="5">
        <v>9328842632</v>
      </c>
      <c r="H557" s="5" t="s">
        <v>1124</v>
      </c>
      <c r="I557" s="5" t="s">
        <v>79</v>
      </c>
      <c r="J557" s="5" t="s">
        <v>129</v>
      </c>
      <c r="K557" s="5" t="s">
        <v>90</v>
      </c>
      <c r="L557" s="6">
        <v>38110</v>
      </c>
    </row>
    <row r="558" spans="1:12" x14ac:dyDescent="0.25">
      <c r="A558" s="5">
        <v>557</v>
      </c>
      <c r="B558" s="5" t="s">
        <v>6</v>
      </c>
      <c r="C558" s="5" t="s">
        <v>83</v>
      </c>
      <c r="D558" s="5" t="s">
        <v>35</v>
      </c>
      <c r="E558" s="5" t="s">
        <v>467</v>
      </c>
      <c r="F558" s="5" t="s">
        <v>970</v>
      </c>
      <c r="G558" s="5">
        <v>9287749349</v>
      </c>
      <c r="H558" s="5" t="s">
        <v>1125</v>
      </c>
      <c r="I558" s="5" t="s">
        <v>79</v>
      </c>
      <c r="J558" s="5" t="s">
        <v>112</v>
      </c>
      <c r="K558" s="5" t="s">
        <v>400</v>
      </c>
      <c r="L558" s="6">
        <v>38118</v>
      </c>
    </row>
    <row r="559" spans="1:12" x14ac:dyDescent="0.25">
      <c r="A559" s="5">
        <v>558</v>
      </c>
      <c r="B559" s="5" t="s">
        <v>212</v>
      </c>
      <c r="C559" s="5" t="s">
        <v>83</v>
      </c>
      <c r="D559" s="5" t="s">
        <v>35</v>
      </c>
      <c r="E559" s="5" t="s">
        <v>184</v>
      </c>
      <c r="F559" s="5" t="s">
        <v>989</v>
      </c>
      <c r="G559" s="5">
        <v>8725147993</v>
      </c>
      <c r="H559" s="5" t="s">
        <v>1126</v>
      </c>
      <c r="I559" s="5" t="s">
        <v>79</v>
      </c>
      <c r="J559" s="5" t="s">
        <v>129</v>
      </c>
      <c r="K559" s="5" t="s">
        <v>90</v>
      </c>
      <c r="L559" s="6">
        <v>38070</v>
      </c>
    </row>
    <row r="560" spans="1:12" x14ac:dyDescent="0.25">
      <c r="A560" s="5">
        <v>559</v>
      </c>
      <c r="B560" s="5" t="s">
        <v>887</v>
      </c>
      <c r="C560" s="5" t="s">
        <v>75</v>
      </c>
      <c r="D560" s="5" t="s">
        <v>35</v>
      </c>
      <c r="E560" s="5" t="s">
        <v>1034</v>
      </c>
      <c r="F560" s="5" t="s">
        <v>1127</v>
      </c>
      <c r="G560" s="5">
        <v>6818498259</v>
      </c>
      <c r="H560" s="5" t="s">
        <v>1128</v>
      </c>
      <c r="I560" s="5" t="s">
        <v>79</v>
      </c>
      <c r="J560" s="5" t="s">
        <v>80</v>
      </c>
      <c r="K560" s="5" t="s">
        <v>994</v>
      </c>
      <c r="L560" s="6">
        <v>38184</v>
      </c>
    </row>
    <row r="561" spans="1:12" x14ac:dyDescent="0.25">
      <c r="A561" s="5">
        <v>560</v>
      </c>
      <c r="B561" s="5" t="s">
        <v>208</v>
      </c>
      <c r="C561" s="5" t="s">
        <v>75</v>
      </c>
      <c r="D561" s="5" t="s">
        <v>35</v>
      </c>
      <c r="E561" s="5" t="s">
        <v>1016</v>
      </c>
      <c r="F561" s="5" t="s">
        <v>1019</v>
      </c>
      <c r="G561" s="5">
        <v>6037406430</v>
      </c>
      <c r="H561" s="5" t="s">
        <v>1129</v>
      </c>
      <c r="I561" s="5" t="s">
        <v>79</v>
      </c>
      <c r="J561" s="5" t="s">
        <v>80</v>
      </c>
      <c r="K561" s="5" t="s">
        <v>998</v>
      </c>
      <c r="L561" s="6">
        <v>38082</v>
      </c>
    </row>
    <row r="562" spans="1:12" x14ac:dyDescent="0.25">
      <c r="A562" s="5">
        <v>561</v>
      </c>
      <c r="B562" s="5" t="s">
        <v>311</v>
      </c>
      <c r="C562" s="5" t="s">
        <v>83</v>
      </c>
      <c r="D562" s="5" t="s">
        <v>35</v>
      </c>
      <c r="E562" s="5" t="s">
        <v>977</v>
      </c>
      <c r="F562" s="5" t="s">
        <v>1048</v>
      </c>
      <c r="G562" s="5">
        <v>7158546144</v>
      </c>
      <c r="H562" s="5" t="s">
        <v>1130</v>
      </c>
      <c r="I562" s="5" t="s">
        <v>79</v>
      </c>
      <c r="J562" s="5" t="s">
        <v>80</v>
      </c>
      <c r="K562" s="5" t="s">
        <v>972</v>
      </c>
      <c r="L562" s="6">
        <v>38097</v>
      </c>
    </row>
    <row r="563" spans="1:12" x14ac:dyDescent="0.25">
      <c r="A563" s="5">
        <v>562</v>
      </c>
      <c r="B563" s="5" t="s">
        <v>187</v>
      </c>
      <c r="C563" s="5" t="s">
        <v>83</v>
      </c>
      <c r="D563" s="5" t="s">
        <v>35</v>
      </c>
      <c r="E563" s="5" t="s">
        <v>991</v>
      </c>
      <c r="F563" s="5" t="s">
        <v>1131</v>
      </c>
      <c r="G563" s="5">
        <v>7077396963</v>
      </c>
      <c r="H563" s="5" t="s">
        <v>1132</v>
      </c>
      <c r="I563" s="5" t="s">
        <v>158</v>
      </c>
      <c r="J563" s="5" t="s">
        <v>80</v>
      </c>
      <c r="K563" s="5" t="s">
        <v>994</v>
      </c>
      <c r="L563" s="6">
        <v>38612</v>
      </c>
    </row>
    <row r="564" spans="1:12" x14ac:dyDescent="0.25">
      <c r="A564" s="5">
        <v>563</v>
      </c>
      <c r="B564" s="5" t="s">
        <v>228</v>
      </c>
      <c r="C564" s="5" t="s">
        <v>83</v>
      </c>
      <c r="D564" s="5" t="s">
        <v>35</v>
      </c>
      <c r="E564" s="5" t="s">
        <v>1011</v>
      </c>
      <c r="F564" s="5" t="s">
        <v>1046</v>
      </c>
      <c r="G564" s="5">
        <v>9142936439</v>
      </c>
      <c r="H564" s="5" t="s">
        <v>1130</v>
      </c>
      <c r="I564" s="5" t="s">
        <v>158</v>
      </c>
      <c r="J564" s="5" t="s">
        <v>80</v>
      </c>
      <c r="K564" s="5" t="s">
        <v>994</v>
      </c>
      <c r="L564" s="6">
        <v>38574</v>
      </c>
    </row>
    <row r="565" spans="1:12" x14ac:dyDescent="0.25">
      <c r="A565" s="5">
        <v>564</v>
      </c>
      <c r="B565" s="5" t="s">
        <v>377</v>
      </c>
      <c r="C565" s="5" t="s">
        <v>75</v>
      </c>
      <c r="D565" s="5" t="s">
        <v>35</v>
      </c>
      <c r="E565" s="5" t="s">
        <v>969</v>
      </c>
      <c r="F565" s="5" t="s">
        <v>1133</v>
      </c>
      <c r="G565" s="5">
        <v>6013155796</v>
      </c>
      <c r="H565" s="5" t="s">
        <v>1107</v>
      </c>
      <c r="I565" s="5" t="s">
        <v>158</v>
      </c>
      <c r="J565" s="5" t="s">
        <v>80</v>
      </c>
      <c r="K565" s="5" t="s">
        <v>972</v>
      </c>
      <c r="L565" s="6">
        <v>38401</v>
      </c>
    </row>
    <row r="566" spans="1:12" x14ac:dyDescent="0.25">
      <c r="A566" s="5">
        <v>565</v>
      </c>
      <c r="B566" s="5" t="s">
        <v>138</v>
      </c>
      <c r="C566" s="5" t="s">
        <v>83</v>
      </c>
      <c r="D566" s="5" t="s">
        <v>35</v>
      </c>
      <c r="E566" s="5" t="s">
        <v>977</v>
      </c>
      <c r="F566" s="5" t="s">
        <v>1017</v>
      </c>
      <c r="G566" s="5">
        <v>7904665619</v>
      </c>
      <c r="H566" s="5" t="s">
        <v>1134</v>
      </c>
      <c r="I566" s="5" t="s">
        <v>158</v>
      </c>
      <c r="J566" s="5" t="s">
        <v>80</v>
      </c>
      <c r="K566" s="5" t="s">
        <v>972</v>
      </c>
      <c r="L566" s="6">
        <v>38400</v>
      </c>
    </row>
    <row r="567" spans="1:12" x14ac:dyDescent="0.25">
      <c r="A567" s="5">
        <v>566</v>
      </c>
      <c r="B567" s="5" t="s">
        <v>457</v>
      </c>
      <c r="C567" s="5" t="s">
        <v>75</v>
      </c>
      <c r="D567" s="5" t="s">
        <v>35</v>
      </c>
      <c r="E567" s="5" t="s">
        <v>1034</v>
      </c>
      <c r="F567" s="5" t="s">
        <v>1086</v>
      </c>
      <c r="G567" s="5">
        <v>7897304790</v>
      </c>
      <c r="H567" s="5" t="s">
        <v>1135</v>
      </c>
      <c r="I567" s="5" t="s">
        <v>158</v>
      </c>
      <c r="J567" s="5" t="s">
        <v>80</v>
      </c>
      <c r="K567" s="5" t="s">
        <v>994</v>
      </c>
      <c r="L567" s="6">
        <v>38511</v>
      </c>
    </row>
    <row r="568" spans="1:12" x14ac:dyDescent="0.25">
      <c r="A568" s="5">
        <v>567</v>
      </c>
      <c r="B568" s="5" t="s">
        <v>262</v>
      </c>
      <c r="C568" s="5" t="s">
        <v>75</v>
      </c>
      <c r="D568" s="5" t="s">
        <v>35</v>
      </c>
      <c r="E568" s="5" t="s">
        <v>1005</v>
      </c>
      <c r="F568" s="5" t="s">
        <v>1136</v>
      </c>
      <c r="G568" s="5">
        <v>9367618470</v>
      </c>
      <c r="H568" s="5" t="s">
        <v>1137</v>
      </c>
      <c r="I568" s="5" t="s">
        <v>158</v>
      </c>
      <c r="J568" s="5" t="s">
        <v>80</v>
      </c>
      <c r="K568" s="5" t="s">
        <v>994</v>
      </c>
      <c r="L568" s="6">
        <v>38694</v>
      </c>
    </row>
    <row r="569" spans="1:12" x14ac:dyDescent="0.25">
      <c r="A569" s="5">
        <v>568</v>
      </c>
      <c r="B569" s="5" t="s">
        <v>428</v>
      </c>
      <c r="C569" s="5" t="s">
        <v>83</v>
      </c>
      <c r="D569" s="5" t="s">
        <v>35</v>
      </c>
      <c r="E569" s="5" t="s">
        <v>117</v>
      </c>
      <c r="F569" s="5" t="s">
        <v>1138</v>
      </c>
      <c r="G569" s="5">
        <v>9406200031</v>
      </c>
      <c r="H569" s="5" t="s">
        <v>1139</v>
      </c>
      <c r="I569" s="5" t="s">
        <v>158</v>
      </c>
      <c r="J569" s="5" t="s">
        <v>80</v>
      </c>
      <c r="K569" s="5" t="s">
        <v>90</v>
      </c>
      <c r="L569" s="6">
        <v>38581</v>
      </c>
    </row>
    <row r="570" spans="1:12" x14ac:dyDescent="0.25">
      <c r="A570" s="5">
        <v>569</v>
      </c>
      <c r="B570" s="5" t="s">
        <v>311</v>
      </c>
      <c r="C570" s="5" t="s">
        <v>75</v>
      </c>
      <c r="D570" s="5" t="s">
        <v>35</v>
      </c>
      <c r="E570" s="5" t="s">
        <v>969</v>
      </c>
      <c r="F570" s="5" t="s">
        <v>1048</v>
      </c>
      <c r="G570" s="5">
        <v>6782213306</v>
      </c>
      <c r="H570" s="5" t="s">
        <v>1010</v>
      </c>
      <c r="I570" s="5" t="s">
        <v>158</v>
      </c>
      <c r="J570" s="5" t="s">
        <v>112</v>
      </c>
      <c r="K570" s="5" t="s">
        <v>972</v>
      </c>
      <c r="L570" s="6">
        <v>38456</v>
      </c>
    </row>
    <row r="571" spans="1:12" x14ac:dyDescent="0.25">
      <c r="A571" s="5">
        <v>570</v>
      </c>
      <c r="B571" s="5" t="s">
        <v>174</v>
      </c>
      <c r="C571" s="5" t="s">
        <v>75</v>
      </c>
      <c r="D571" s="5" t="s">
        <v>35</v>
      </c>
      <c r="E571" s="5" t="s">
        <v>977</v>
      </c>
      <c r="F571" s="5" t="s">
        <v>1140</v>
      </c>
      <c r="G571" s="5">
        <v>6131791273</v>
      </c>
      <c r="H571" s="5" t="s">
        <v>1141</v>
      </c>
      <c r="I571" s="5" t="s">
        <v>158</v>
      </c>
      <c r="J571" s="5" t="s">
        <v>112</v>
      </c>
      <c r="K571" s="5" t="s">
        <v>972</v>
      </c>
      <c r="L571" s="6">
        <v>38579</v>
      </c>
    </row>
    <row r="572" spans="1:12" x14ac:dyDescent="0.25">
      <c r="A572" s="5">
        <v>571</v>
      </c>
      <c r="B572" s="5" t="s">
        <v>384</v>
      </c>
      <c r="C572" s="5" t="s">
        <v>75</v>
      </c>
      <c r="D572" s="5" t="s">
        <v>35</v>
      </c>
      <c r="E572" s="5" t="s">
        <v>1016</v>
      </c>
      <c r="F572" s="5" t="s">
        <v>1024</v>
      </c>
      <c r="G572" s="5">
        <v>8189426533</v>
      </c>
      <c r="H572" s="5" t="s">
        <v>1054</v>
      </c>
      <c r="I572" s="5" t="s">
        <v>158</v>
      </c>
      <c r="J572" s="5" t="s">
        <v>129</v>
      </c>
      <c r="K572" s="5" t="s">
        <v>998</v>
      </c>
      <c r="L572" s="6">
        <v>38578</v>
      </c>
    </row>
    <row r="573" spans="1:12" x14ac:dyDescent="0.25">
      <c r="A573" s="5">
        <v>572</v>
      </c>
      <c r="B573" s="5" t="s">
        <v>682</v>
      </c>
      <c r="C573" s="5" t="s">
        <v>75</v>
      </c>
      <c r="D573" s="5" t="s">
        <v>35</v>
      </c>
      <c r="E573" s="5" t="s">
        <v>1011</v>
      </c>
      <c r="F573" s="5" t="s">
        <v>1142</v>
      </c>
      <c r="G573" s="5">
        <v>6901202849</v>
      </c>
      <c r="H573" s="5" t="s">
        <v>1143</v>
      </c>
      <c r="I573" s="5" t="s">
        <v>158</v>
      </c>
      <c r="J573" s="5" t="s">
        <v>80</v>
      </c>
      <c r="K573" s="5" t="s">
        <v>994</v>
      </c>
      <c r="L573" s="6">
        <v>38414</v>
      </c>
    </row>
    <row r="574" spans="1:12" x14ac:dyDescent="0.25">
      <c r="A574" s="5">
        <v>573</v>
      </c>
      <c r="B574" s="5" t="s">
        <v>630</v>
      </c>
      <c r="C574" s="5" t="s">
        <v>75</v>
      </c>
      <c r="D574" s="5" t="s">
        <v>35</v>
      </c>
      <c r="E574" s="5" t="s">
        <v>1011</v>
      </c>
      <c r="F574" s="5" t="s">
        <v>1144</v>
      </c>
      <c r="G574" s="5">
        <v>8487019159</v>
      </c>
      <c r="H574" s="5" t="s">
        <v>1145</v>
      </c>
      <c r="I574" s="5" t="s">
        <v>158</v>
      </c>
      <c r="J574" s="5" t="s">
        <v>80</v>
      </c>
      <c r="K574" s="5" t="s">
        <v>994</v>
      </c>
      <c r="L574" s="6">
        <v>38386</v>
      </c>
    </row>
    <row r="575" spans="1:12" x14ac:dyDescent="0.25">
      <c r="A575" s="5">
        <v>574</v>
      </c>
      <c r="B575" s="5" t="s">
        <v>180</v>
      </c>
      <c r="C575" s="5" t="s">
        <v>83</v>
      </c>
      <c r="D575" s="5" t="s">
        <v>35</v>
      </c>
      <c r="E575" s="5" t="s">
        <v>109</v>
      </c>
      <c r="F575" s="5" t="s">
        <v>1146</v>
      </c>
      <c r="G575" s="5">
        <v>9453626559</v>
      </c>
      <c r="H575" s="5" t="s">
        <v>1147</v>
      </c>
      <c r="I575" s="5" t="s">
        <v>158</v>
      </c>
      <c r="J575" s="5" t="s">
        <v>80</v>
      </c>
      <c r="K575" s="5" t="s">
        <v>81</v>
      </c>
      <c r="L575" s="6">
        <v>38476</v>
      </c>
    </row>
    <row r="576" spans="1:12" x14ac:dyDescent="0.25">
      <c r="A576" s="5">
        <v>575</v>
      </c>
      <c r="B576" s="5" t="s">
        <v>113</v>
      </c>
      <c r="C576" s="5" t="s">
        <v>83</v>
      </c>
      <c r="D576" s="5" t="s">
        <v>35</v>
      </c>
      <c r="E576" s="5" t="s">
        <v>1016</v>
      </c>
      <c r="F576" s="5" t="s">
        <v>1148</v>
      </c>
      <c r="G576" s="5">
        <v>6869717482</v>
      </c>
      <c r="H576" s="5" t="s">
        <v>1149</v>
      </c>
      <c r="I576" s="5" t="s">
        <v>158</v>
      </c>
      <c r="J576" s="5" t="s">
        <v>80</v>
      </c>
      <c r="K576" s="5" t="s">
        <v>998</v>
      </c>
      <c r="L576" s="6">
        <v>38637</v>
      </c>
    </row>
    <row r="577" spans="1:12" x14ac:dyDescent="0.25">
      <c r="A577" s="5">
        <v>576</v>
      </c>
      <c r="B577" s="5" t="s">
        <v>377</v>
      </c>
      <c r="C577" s="5" t="s">
        <v>83</v>
      </c>
      <c r="D577" s="5" t="s">
        <v>35</v>
      </c>
      <c r="E577" s="5" t="s">
        <v>87</v>
      </c>
      <c r="F577" s="5" t="s">
        <v>1133</v>
      </c>
      <c r="G577" s="5">
        <v>8112340526</v>
      </c>
      <c r="H577" s="5" t="s">
        <v>1150</v>
      </c>
      <c r="I577" s="5" t="s">
        <v>158</v>
      </c>
      <c r="J577" s="5" t="s">
        <v>80</v>
      </c>
      <c r="K577" s="5" t="s">
        <v>90</v>
      </c>
      <c r="L577" s="6">
        <v>38392</v>
      </c>
    </row>
    <row r="578" spans="1:12" x14ac:dyDescent="0.25">
      <c r="A578" s="5">
        <v>577</v>
      </c>
      <c r="B578" s="5" t="s">
        <v>514</v>
      </c>
      <c r="C578" s="5" t="s">
        <v>75</v>
      </c>
      <c r="D578" s="5" t="s">
        <v>35</v>
      </c>
      <c r="E578" s="5" t="s">
        <v>438</v>
      </c>
      <c r="F578" s="5" t="s">
        <v>975</v>
      </c>
      <c r="G578" s="5">
        <v>9482299480</v>
      </c>
      <c r="H578" s="5" t="s">
        <v>1151</v>
      </c>
      <c r="I578" s="5" t="s">
        <v>158</v>
      </c>
      <c r="J578" s="5" t="s">
        <v>80</v>
      </c>
      <c r="K578" s="5" t="s">
        <v>400</v>
      </c>
      <c r="L578" s="6">
        <v>38481</v>
      </c>
    </row>
    <row r="579" spans="1:12" x14ac:dyDescent="0.25">
      <c r="A579" s="5">
        <v>578</v>
      </c>
      <c r="B579" s="5" t="s">
        <v>86</v>
      </c>
      <c r="C579" s="5" t="s">
        <v>75</v>
      </c>
      <c r="D579" s="5" t="s">
        <v>35</v>
      </c>
      <c r="E579" s="5" t="s">
        <v>397</v>
      </c>
      <c r="F579" s="5" t="s">
        <v>1103</v>
      </c>
      <c r="G579" s="5">
        <v>8209646101</v>
      </c>
      <c r="H579" s="5" t="s">
        <v>1152</v>
      </c>
      <c r="I579" s="5" t="s">
        <v>158</v>
      </c>
      <c r="J579" s="5" t="s">
        <v>80</v>
      </c>
      <c r="K579" s="5" t="s">
        <v>400</v>
      </c>
      <c r="L579" s="6">
        <v>38693</v>
      </c>
    </row>
    <row r="580" spans="1:12" x14ac:dyDescent="0.25">
      <c r="A580" s="5">
        <v>579</v>
      </c>
      <c r="B580" s="5" t="s">
        <v>86</v>
      </c>
      <c r="C580" s="5" t="s">
        <v>75</v>
      </c>
      <c r="D580" s="5" t="s">
        <v>35</v>
      </c>
      <c r="E580" s="5" t="s">
        <v>995</v>
      </c>
      <c r="F580" s="5" t="s">
        <v>1103</v>
      </c>
      <c r="G580" s="5">
        <v>9859048452</v>
      </c>
      <c r="H580" s="5" t="s">
        <v>1153</v>
      </c>
      <c r="I580" s="5" t="s">
        <v>158</v>
      </c>
      <c r="J580" s="5" t="s">
        <v>80</v>
      </c>
      <c r="K580" s="5" t="s">
        <v>998</v>
      </c>
      <c r="L580" s="6">
        <v>38515</v>
      </c>
    </row>
    <row r="581" spans="1:12" x14ac:dyDescent="0.25">
      <c r="A581" s="5">
        <v>580</v>
      </c>
      <c r="B581" s="5" t="s">
        <v>311</v>
      </c>
      <c r="C581" s="5" t="s">
        <v>83</v>
      </c>
      <c r="D581" s="5" t="s">
        <v>35</v>
      </c>
      <c r="E581" s="5" t="s">
        <v>969</v>
      </c>
      <c r="F581" s="5" t="s">
        <v>1048</v>
      </c>
      <c r="G581" s="5">
        <v>9668488914</v>
      </c>
      <c r="H581" s="5" t="s">
        <v>1154</v>
      </c>
      <c r="I581" s="5" t="s">
        <v>158</v>
      </c>
      <c r="J581" s="5" t="s">
        <v>159</v>
      </c>
      <c r="K581" s="5" t="s">
        <v>972</v>
      </c>
      <c r="L581" s="6">
        <v>38633</v>
      </c>
    </row>
    <row r="582" spans="1:12" x14ac:dyDescent="0.25">
      <c r="A582" s="5">
        <v>581</v>
      </c>
      <c r="B582" s="5" t="s">
        <v>168</v>
      </c>
      <c r="C582" s="5" t="s">
        <v>83</v>
      </c>
      <c r="D582" s="5" t="s">
        <v>35</v>
      </c>
      <c r="E582" s="5" t="s">
        <v>1008</v>
      </c>
      <c r="F582" s="5" t="s">
        <v>1155</v>
      </c>
      <c r="G582" s="5">
        <v>9603533553</v>
      </c>
      <c r="H582" s="5" t="s">
        <v>1156</v>
      </c>
      <c r="I582" s="5" t="s">
        <v>158</v>
      </c>
      <c r="J582" s="5" t="s">
        <v>129</v>
      </c>
      <c r="K582" s="5" t="s">
        <v>998</v>
      </c>
      <c r="L582" s="6">
        <v>38549</v>
      </c>
    </row>
    <row r="583" spans="1:12" x14ac:dyDescent="0.25">
      <c r="A583" s="5">
        <v>582</v>
      </c>
      <c r="B583" s="5" t="s">
        <v>98</v>
      </c>
      <c r="C583" s="5" t="s">
        <v>83</v>
      </c>
      <c r="D583" s="5" t="s">
        <v>35</v>
      </c>
      <c r="E583" s="5" t="s">
        <v>1034</v>
      </c>
      <c r="F583" s="5" t="s">
        <v>978</v>
      </c>
      <c r="G583" s="5">
        <v>9570031865</v>
      </c>
      <c r="H583" s="5" t="s">
        <v>1157</v>
      </c>
      <c r="I583" s="5" t="s">
        <v>158</v>
      </c>
      <c r="J583" s="5" t="s">
        <v>80</v>
      </c>
      <c r="K583" s="5" t="s">
        <v>994</v>
      </c>
      <c r="L583" s="6">
        <v>38439</v>
      </c>
    </row>
    <row r="584" spans="1:12" x14ac:dyDescent="0.25">
      <c r="A584" s="5">
        <v>583</v>
      </c>
      <c r="B584" s="5" t="s">
        <v>141</v>
      </c>
      <c r="C584" s="5" t="s">
        <v>75</v>
      </c>
      <c r="D584" s="5" t="s">
        <v>35</v>
      </c>
      <c r="E584" s="5" t="s">
        <v>995</v>
      </c>
      <c r="F584" s="5" t="s">
        <v>1158</v>
      </c>
      <c r="G584" s="5">
        <v>9115393824</v>
      </c>
      <c r="H584" s="5" t="s">
        <v>1159</v>
      </c>
      <c r="I584" s="5" t="s">
        <v>158</v>
      </c>
      <c r="J584" s="5" t="s">
        <v>80</v>
      </c>
      <c r="K584" s="5" t="s">
        <v>998</v>
      </c>
      <c r="L584" s="6">
        <v>38364</v>
      </c>
    </row>
    <row r="585" spans="1:12" x14ac:dyDescent="0.25">
      <c r="A585" s="5">
        <v>584</v>
      </c>
      <c r="B585" s="5" t="s">
        <v>259</v>
      </c>
      <c r="C585" s="5" t="s">
        <v>83</v>
      </c>
      <c r="D585" s="5" t="s">
        <v>35</v>
      </c>
      <c r="E585" s="5" t="s">
        <v>984</v>
      </c>
      <c r="F585" s="5" t="s">
        <v>980</v>
      </c>
      <c r="G585" s="5">
        <v>6164262976</v>
      </c>
      <c r="H585" s="5" t="s">
        <v>1160</v>
      </c>
      <c r="I585" s="5" t="s">
        <v>158</v>
      </c>
      <c r="J585" s="5" t="s">
        <v>80</v>
      </c>
      <c r="K585" s="5" t="s">
        <v>972</v>
      </c>
      <c r="L585" s="6">
        <v>38561</v>
      </c>
    </row>
    <row r="586" spans="1:12" x14ac:dyDescent="0.25">
      <c r="A586" s="5">
        <v>585</v>
      </c>
      <c r="B586" s="5" t="s">
        <v>476</v>
      </c>
      <c r="C586" s="5" t="s">
        <v>75</v>
      </c>
      <c r="D586" s="5" t="s">
        <v>35</v>
      </c>
      <c r="E586" s="5" t="s">
        <v>995</v>
      </c>
      <c r="F586" s="5" t="s">
        <v>1161</v>
      </c>
      <c r="G586" s="5">
        <v>7997342144</v>
      </c>
      <c r="H586" s="5" t="s">
        <v>1162</v>
      </c>
      <c r="I586" s="5" t="s">
        <v>158</v>
      </c>
      <c r="J586" s="5" t="s">
        <v>80</v>
      </c>
      <c r="K586" s="5" t="s">
        <v>998</v>
      </c>
      <c r="L586" s="6">
        <v>38486</v>
      </c>
    </row>
    <row r="587" spans="1:12" x14ac:dyDescent="0.25">
      <c r="A587" s="5">
        <v>586</v>
      </c>
      <c r="B587" s="5" t="s">
        <v>101</v>
      </c>
      <c r="C587" s="5" t="s">
        <v>83</v>
      </c>
      <c r="D587" s="5" t="s">
        <v>35</v>
      </c>
      <c r="E587" s="5" t="s">
        <v>109</v>
      </c>
      <c r="F587" s="5" t="s">
        <v>1163</v>
      </c>
      <c r="G587" s="5">
        <v>9847647917</v>
      </c>
      <c r="H587" s="5" t="s">
        <v>1164</v>
      </c>
      <c r="I587" s="5" t="s">
        <v>158</v>
      </c>
      <c r="J587" s="5" t="s">
        <v>129</v>
      </c>
      <c r="K587" s="5" t="s">
        <v>81</v>
      </c>
      <c r="L587" s="6">
        <v>38682</v>
      </c>
    </row>
    <row r="588" spans="1:12" x14ac:dyDescent="0.25">
      <c r="A588" s="5">
        <v>587</v>
      </c>
      <c r="B588" s="5" t="s">
        <v>457</v>
      </c>
      <c r="C588" s="5" t="s">
        <v>83</v>
      </c>
      <c r="D588" s="5" t="s">
        <v>35</v>
      </c>
      <c r="E588" s="5" t="s">
        <v>1016</v>
      </c>
      <c r="F588" s="5" t="s">
        <v>1086</v>
      </c>
      <c r="G588" s="5">
        <v>7065322813</v>
      </c>
      <c r="H588" s="5" t="s">
        <v>1165</v>
      </c>
      <c r="I588" s="5" t="s">
        <v>158</v>
      </c>
      <c r="J588" s="5" t="s">
        <v>129</v>
      </c>
      <c r="K588" s="5" t="s">
        <v>998</v>
      </c>
      <c r="L588" s="6">
        <v>38612</v>
      </c>
    </row>
    <row r="589" spans="1:12" x14ac:dyDescent="0.25">
      <c r="A589" s="5">
        <v>588</v>
      </c>
      <c r="B589" s="5" t="s">
        <v>183</v>
      </c>
      <c r="C589" s="5" t="s">
        <v>83</v>
      </c>
      <c r="D589" s="5" t="s">
        <v>35</v>
      </c>
      <c r="E589" s="5" t="s">
        <v>1008</v>
      </c>
      <c r="F589" s="5" t="s">
        <v>1166</v>
      </c>
      <c r="G589" s="5">
        <v>8798568996</v>
      </c>
      <c r="H589" s="5" t="s">
        <v>1060</v>
      </c>
      <c r="I589" s="5" t="s">
        <v>158</v>
      </c>
      <c r="J589" s="5" t="s">
        <v>80</v>
      </c>
      <c r="K589" s="5" t="s">
        <v>998</v>
      </c>
      <c r="L589" s="6">
        <v>38504</v>
      </c>
    </row>
    <row r="590" spans="1:12" x14ac:dyDescent="0.25">
      <c r="A590" s="5">
        <v>589</v>
      </c>
      <c r="B590" s="5" t="s">
        <v>230</v>
      </c>
      <c r="C590" s="5" t="s">
        <v>75</v>
      </c>
      <c r="D590" s="5" t="s">
        <v>35</v>
      </c>
      <c r="E590" s="5" t="s">
        <v>1034</v>
      </c>
      <c r="F590" s="5" t="s">
        <v>1167</v>
      </c>
      <c r="G590" s="5">
        <v>8701742144</v>
      </c>
      <c r="H590" s="5" t="s">
        <v>988</v>
      </c>
      <c r="I590" s="5" t="s">
        <v>158</v>
      </c>
      <c r="J590" s="5" t="s">
        <v>80</v>
      </c>
      <c r="K590" s="5" t="s">
        <v>994</v>
      </c>
      <c r="L590" s="6">
        <v>38505</v>
      </c>
    </row>
    <row r="591" spans="1:12" x14ac:dyDescent="0.25">
      <c r="A591" s="5">
        <v>590</v>
      </c>
      <c r="B591" s="5" t="s">
        <v>108</v>
      </c>
      <c r="C591" s="5" t="s">
        <v>83</v>
      </c>
      <c r="D591" s="5" t="s">
        <v>35</v>
      </c>
      <c r="E591" s="5" t="s">
        <v>1005</v>
      </c>
      <c r="F591" s="5" t="s">
        <v>1168</v>
      </c>
      <c r="G591" s="5">
        <v>9664613938</v>
      </c>
      <c r="H591" s="5" t="s">
        <v>1169</v>
      </c>
      <c r="I591" s="5" t="s">
        <v>158</v>
      </c>
      <c r="J591" s="5" t="s">
        <v>80</v>
      </c>
      <c r="K591" s="5" t="s">
        <v>994</v>
      </c>
      <c r="L591" s="6">
        <v>38646</v>
      </c>
    </row>
    <row r="592" spans="1:12" x14ac:dyDescent="0.25">
      <c r="A592" s="5">
        <v>591</v>
      </c>
      <c r="B592" s="5" t="s">
        <v>151</v>
      </c>
      <c r="C592" s="5" t="s">
        <v>83</v>
      </c>
      <c r="D592" s="5" t="s">
        <v>35</v>
      </c>
      <c r="E592" s="5" t="s">
        <v>969</v>
      </c>
      <c r="F592" s="5" t="s">
        <v>1105</v>
      </c>
      <c r="G592" s="5">
        <v>6081970890</v>
      </c>
      <c r="H592" s="5" t="s">
        <v>1170</v>
      </c>
      <c r="I592" s="5" t="s">
        <v>158</v>
      </c>
      <c r="J592" s="5" t="s">
        <v>80</v>
      </c>
      <c r="K592" s="5" t="s">
        <v>972</v>
      </c>
      <c r="L592" s="6">
        <v>38378</v>
      </c>
    </row>
    <row r="593" spans="1:12" x14ac:dyDescent="0.25">
      <c r="A593" s="5">
        <v>592</v>
      </c>
      <c r="B593" s="5" t="s">
        <v>887</v>
      </c>
      <c r="C593" s="5" t="s">
        <v>83</v>
      </c>
      <c r="D593" s="5" t="s">
        <v>35</v>
      </c>
      <c r="E593" s="5" t="s">
        <v>1008</v>
      </c>
      <c r="F593" s="5" t="s">
        <v>1127</v>
      </c>
      <c r="G593" s="5">
        <v>6859989441</v>
      </c>
      <c r="H593" s="5" t="s">
        <v>1171</v>
      </c>
      <c r="I593" s="5" t="s">
        <v>158</v>
      </c>
      <c r="J593" s="5" t="s">
        <v>80</v>
      </c>
      <c r="K593" s="5" t="s">
        <v>998</v>
      </c>
      <c r="L593" s="6">
        <v>38459</v>
      </c>
    </row>
    <row r="594" spans="1:12" x14ac:dyDescent="0.25">
      <c r="A594" s="5">
        <v>593</v>
      </c>
      <c r="B594" s="5" t="s">
        <v>130</v>
      </c>
      <c r="C594" s="5" t="s">
        <v>75</v>
      </c>
      <c r="D594" s="5" t="s">
        <v>35</v>
      </c>
      <c r="E594" s="5" t="s">
        <v>977</v>
      </c>
      <c r="F594" s="5" t="s">
        <v>1037</v>
      </c>
      <c r="G594" s="5">
        <v>6783657456</v>
      </c>
      <c r="H594" s="5" t="s">
        <v>1141</v>
      </c>
      <c r="I594" s="5" t="s">
        <v>158</v>
      </c>
      <c r="J594" s="5" t="s">
        <v>129</v>
      </c>
      <c r="K594" s="5" t="s">
        <v>972</v>
      </c>
      <c r="L594" s="6">
        <v>38678</v>
      </c>
    </row>
    <row r="595" spans="1:12" x14ac:dyDescent="0.25">
      <c r="A595" s="5">
        <v>594</v>
      </c>
      <c r="B595" s="5" t="s">
        <v>215</v>
      </c>
      <c r="C595" s="5" t="s">
        <v>75</v>
      </c>
      <c r="D595" s="5" t="s">
        <v>35</v>
      </c>
      <c r="E595" s="5" t="s">
        <v>1016</v>
      </c>
      <c r="F595" s="5" t="s">
        <v>1030</v>
      </c>
      <c r="G595" s="5">
        <v>7810156024</v>
      </c>
      <c r="H595" s="5" t="s">
        <v>1172</v>
      </c>
      <c r="I595" s="5" t="s">
        <v>158</v>
      </c>
      <c r="J595" s="5" t="s">
        <v>112</v>
      </c>
      <c r="K595" s="5" t="s">
        <v>998</v>
      </c>
      <c r="L595" s="6">
        <v>38481</v>
      </c>
    </row>
    <row r="596" spans="1:12" x14ac:dyDescent="0.25">
      <c r="A596" s="5">
        <v>595</v>
      </c>
      <c r="B596" s="5" t="s">
        <v>494</v>
      </c>
      <c r="C596" s="5" t="s">
        <v>83</v>
      </c>
      <c r="D596" s="5" t="s">
        <v>35</v>
      </c>
      <c r="E596" s="5" t="s">
        <v>969</v>
      </c>
      <c r="F596" s="5" t="s">
        <v>1173</v>
      </c>
      <c r="G596" s="5">
        <v>7811900006</v>
      </c>
      <c r="H596" s="5" t="s">
        <v>1174</v>
      </c>
      <c r="I596" s="5" t="s">
        <v>158</v>
      </c>
      <c r="J596" s="5" t="s">
        <v>112</v>
      </c>
      <c r="K596" s="5" t="s">
        <v>972</v>
      </c>
      <c r="L596" s="6">
        <v>38556</v>
      </c>
    </row>
    <row r="597" spans="1:12" x14ac:dyDescent="0.25">
      <c r="A597" s="5">
        <v>596</v>
      </c>
      <c r="B597" s="5" t="s">
        <v>191</v>
      </c>
      <c r="C597" s="5" t="s">
        <v>83</v>
      </c>
      <c r="D597" s="5" t="s">
        <v>35</v>
      </c>
      <c r="E597" s="5" t="s">
        <v>1008</v>
      </c>
      <c r="F597" s="5" t="s">
        <v>1084</v>
      </c>
      <c r="G597" s="5">
        <v>6535850022</v>
      </c>
      <c r="H597" s="5" t="s">
        <v>1013</v>
      </c>
      <c r="I597" s="5" t="s">
        <v>158</v>
      </c>
      <c r="J597" s="5" t="s">
        <v>80</v>
      </c>
      <c r="K597" s="5" t="s">
        <v>998</v>
      </c>
      <c r="L597" s="6">
        <v>38525</v>
      </c>
    </row>
    <row r="598" spans="1:12" x14ac:dyDescent="0.25">
      <c r="A598" s="5">
        <v>597</v>
      </c>
      <c r="B598" s="5" t="s">
        <v>505</v>
      </c>
      <c r="C598" s="5" t="s">
        <v>75</v>
      </c>
      <c r="D598" s="5" t="s">
        <v>35</v>
      </c>
      <c r="E598" s="5" t="s">
        <v>135</v>
      </c>
      <c r="F598" s="5" t="s">
        <v>1175</v>
      </c>
      <c r="G598" s="5">
        <v>7277827195</v>
      </c>
      <c r="H598" s="5" t="s">
        <v>1176</v>
      </c>
      <c r="I598" s="5" t="s">
        <v>158</v>
      </c>
      <c r="J598" s="5" t="s">
        <v>129</v>
      </c>
      <c r="K598" s="5" t="s">
        <v>81</v>
      </c>
      <c r="L598" s="6">
        <v>38411</v>
      </c>
    </row>
    <row r="599" spans="1:12" x14ac:dyDescent="0.25">
      <c r="A599" s="5">
        <v>598</v>
      </c>
      <c r="B599" s="5" t="s">
        <v>723</v>
      </c>
      <c r="C599" s="5" t="s">
        <v>75</v>
      </c>
      <c r="D599" s="5" t="s">
        <v>35</v>
      </c>
      <c r="E599" s="5" t="s">
        <v>1034</v>
      </c>
      <c r="F599" s="5" t="s">
        <v>1177</v>
      </c>
      <c r="G599" s="5">
        <v>6276802711</v>
      </c>
      <c r="H599" s="5" t="s">
        <v>1085</v>
      </c>
      <c r="I599" s="5" t="s">
        <v>158</v>
      </c>
      <c r="J599" s="5" t="s">
        <v>129</v>
      </c>
      <c r="K599" s="5" t="s">
        <v>994</v>
      </c>
      <c r="L599" s="6">
        <v>38489</v>
      </c>
    </row>
    <row r="600" spans="1:12" x14ac:dyDescent="0.25">
      <c r="A600" s="5">
        <v>599</v>
      </c>
      <c r="B600" s="5" t="s">
        <v>550</v>
      </c>
      <c r="C600" s="5" t="s">
        <v>83</v>
      </c>
      <c r="D600" s="5" t="s">
        <v>35</v>
      </c>
      <c r="E600" s="5" t="s">
        <v>984</v>
      </c>
      <c r="F600" s="5" t="s">
        <v>1076</v>
      </c>
      <c r="G600" s="5">
        <v>8597911048</v>
      </c>
      <c r="H600" s="5" t="s">
        <v>1075</v>
      </c>
      <c r="I600" s="5" t="s">
        <v>158</v>
      </c>
      <c r="J600" s="5" t="s">
        <v>80</v>
      </c>
      <c r="K600" s="5" t="s">
        <v>972</v>
      </c>
      <c r="L600" s="6">
        <v>38447</v>
      </c>
    </row>
    <row r="601" spans="1:12" x14ac:dyDescent="0.25">
      <c r="A601" s="5">
        <v>600</v>
      </c>
      <c r="B601" s="5" t="s">
        <v>125</v>
      </c>
      <c r="C601" s="5" t="s">
        <v>83</v>
      </c>
      <c r="D601" s="5" t="s">
        <v>35</v>
      </c>
      <c r="E601" s="5" t="s">
        <v>1034</v>
      </c>
      <c r="F601" s="5" t="s">
        <v>1040</v>
      </c>
      <c r="G601" s="5">
        <v>9093524552</v>
      </c>
      <c r="H601" s="5" t="s">
        <v>1113</v>
      </c>
      <c r="I601" s="5" t="s">
        <v>158</v>
      </c>
      <c r="J601" s="5" t="s">
        <v>80</v>
      </c>
      <c r="K601" s="5" t="s">
        <v>994</v>
      </c>
      <c r="L601" s="6">
        <v>38695</v>
      </c>
    </row>
    <row r="602" spans="1:12" x14ac:dyDescent="0.25">
      <c r="A602" s="5">
        <v>601</v>
      </c>
      <c r="B602" s="5" t="s">
        <v>228</v>
      </c>
      <c r="C602" s="5" t="s">
        <v>83</v>
      </c>
      <c r="D602" s="5" t="s">
        <v>35</v>
      </c>
      <c r="E602" s="5" t="s">
        <v>1008</v>
      </c>
      <c r="F602" s="5" t="s">
        <v>1046</v>
      </c>
      <c r="G602" s="5">
        <v>6312810931</v>
      </c>
      <c r="H602" s="5" t="s">
        <v>1178</v>
      </c>
      <c r="I602" s="5" t="s">
        <v>158</v>
      </c>
      <c r="J602" s="5" t="s">
        <v>80</v>
      </c>
      <c r="K602" s="5" t="s">
        <v>998</v>
      </c>
      <c r="L602" s="6">
        <v>38438</v>
      </c>
    </row>
    <row r="603" spans="1:12" x14ac:dyDescent="0.25">
      <c r="A603" s="5">
        <v>602</v>
      </c>
      <c r="B603" s="5" t="s">
        <v>600</v>
      </c>
      <c r="C603" s="5" t="s">
        <v>75</v>
      </c>
      <c r="D603" s="5" t="s">
        <v>35</v>
      </c>
      <c r="E603" s="5" t="s">
        <v>984</v>
      </c>
      <c r="F603" s="5" t="s">
        <v>1121</v>
      </c>
      <c r="G603" s="5">
        <v>9635187162</v>
      </c>
      <c r="H603" s="5" t="s">
        <v>1179</v>
      </c>
      <c r="I603" s="5" t="s">
        <v>158</v>
      </c>
      <c r="J603" s="5" t="s">
        <v>80</v>
      </c>
      <c r="K603" s="5" t="s">
        <v>972</v>
      </c>
      <c r="L603" s="6">
        <v>38369</v>
      </c>
    </row>
    <row r="604" spans="1:12" x14ac:dyDescent="0.25">
      <c r="A604" s="5">
        <v>603</v>
      </c>
      <c r="B604" s="5" t="s">
        <v>125</v>
      </c>
      <c r="C604" s="5" t="s">
        <v>83</v>
      </c>
      <c r="D604" s="5" t="s">
        <v>35</v>
      </c>
      <c r="E604" s="5" t="s">
        <v>1008</v>
      </c>
      <c r="F604" s="5" t="s">
        <v>1040</v>
      </c>
      <c r="G604" s="5">
        <v>8916383529</v>
      </c>
      <c r="H604" s="5" t="s">
        <v>1180</v>
      </c>
      <c r="I604" s="5" t="s">
        <v>158</v>
      </c>
      <c r="J604" s="5" t="s">
        <v>159</v>
      </c>
      <c r="K604" s="5" t="s">
        <v>998</v>
      </c>
      <c r="L604" s="6">
        <v>38531</v>
      </c>
    </row>
    <row r="605" spans="1:12" x14ac:dyDescent="0.25">
      <c r="A605" s="5">
        <v>604</v>
      </c>
      <c r="B605" s="5" t="s">
        <v>208</v>
      </c>
      <c r="C605" s="5" t="s">
        <v>83</v>
      </c>
      <c r="D605" s="5" t="s">
        <v>35</v>
      </c>
      <c r="E605" s="5" t="s">
        <v>184</v>
      </c>
      <c r="F605" s="5" t="s">
        <v>1019</v>
      </c>
      <c r="G605" s="5">
        <v>7189690701</v>
      </c>
      <c r="H605" s="5" t="s">
        <v>1039</v>
      </c>
      <c r="I605" s="5" t="s">
        <v>158</v>
      </c>
      <c r="J605" s="5" t="s">
        <v>129</v>
      </c>
      <c r="K605" s="5" t="s">
        <v>90</v>
      </c>
      <c r="L605" s="6">
        <v>38414</v>
      </c>
    </row>
    <row r="606" spans="1:12" x14ac:dyDescent="0.25">
      <c r="A606" s="5">
        <v>605</v>
      </c>
      <c r="B606" s="5" t="s">
        <v>198</v>
      </c>
      <c r="C606" s="5" t="s">
        <v>75</v>
      </c>
      <c r="D606" s="5" t="s">
        <v>35</v>
      </c>
      <c r="E606" s="5" t="s">
        <v>995</v>
      </c>
      <c r="F606" s="5" t="s">
        <v>1058</v>
      </c>
      <c r="G606" s="5">
        <v>8276482651</v>
      </c>
      <c r="H606" s="5" t="s">
        <v>1028</v>
      </c>
      <c r="I606" s="5" t="s">
        <v>158</v>
      </c>
      <c r="J606" s="5" t="s">
        <v>80</v>
      </c>
      <c r="K606" s="5" t="s">
        <v>998</v>
      </c>
      <c r="L606" s="6">
        <v>38648</v>
      </c>
    </row>
    <row r="607" spans="1:12" x14ac:dyDescent="0.25">
      <c r="A607" s="5">
        <v>606</v>
      </c>
      <c r="B607" s="5" t="s">
        <v>537</v>
      </c>
      <c r="C607" s="5" t="s">
        <v>75</v>
      </c>
      <c r="D607" s="5" t="s">
        <v>35</v>
      </c>
      <c r="E607" s="5" t="s">
        <v>1008</v>
      </c>
      <c r="F607" s="5" t="s">
        <v>1181</v>
      </c>
      <c r="G607" s="5">
        <v>6405066728</v>
      </c>
      <c r="H607" s="5" t="s">
        <v>1182</v>
      </c>
      <c r="I607" s="5" t="s">
        <v>158</v>
      </c>
      <c r="J607" s="5" t="s">
        <v>80</v>
      </c>
      <c r="K607" s="5" t="s">
        <v>998</v>
      </c>
      <c r="L607" s="6">
        <v>38644</v>
      </c>
    </row>
    <row r="608" spans="1:12" x14ac:dyDescent="0.25">
      <c r="A608" s="5">
        <v>607</v>
      </c>
      <c r="B608" s="5" t="s">
        <v>134</v>
      </c>
      <c r="C608" s="5" t="s">
        <v>75</v>
      </c>
      <c r="D608" s="5" t="s">
        <v>35</v>
      </c>
      <c r="E608" s="5" t="s">
        <v>1008</v>
      </c>
      <c r="F608" s="5" t="s">
        <v>1032</v>
      </c>
      <c r="G608" s="5">
        <v>9158916882</v>
      </c>
      <c r="H608" s="5" t="s">
        <v>1183</v>
      </c>
      <c r="I608" s="5" t="s">
        <v>158</v>
      </c>
      <c r="J608" s="5" t="s">
        <v>112</v>
      </c>
      <c r="K608" s="5" t="s">
        <v>998</v>
      </c>
      <c r="L608" s="6">
        <v>38541</v>
      </c>
    </row>
    <row r="609" spans="1:12" x14ac:dyDescent="0.25">
      <c r="A609" s="5">
        <v>608</v>
      </c>
      <c r="B609" s="5" t="s">
        <v>242</v>
      </c>
      <c r="C609" s="5" t="s">
        <v>75</v>
      </c>
      <c r="D609" s="5" t="s">
        <v>35</v>
      </c>
      <c r="E609" s="5" t="s">
        <v>991</v>
      </c>
      <c r="F609" s="5" t="s">
        <v>1184</v>
      </c>
      <c r="G609" s="5">
        <v>9802965141</v>
      </c>
      <c r="H609" s="5" t="s">
        <v>1185</v>
      </c>
      <c r="I609" s="5" t="s">
        <v>158</v>
      </c>
      <c r="J609" s="5" t="s">
        <v>159</v>
      </c>
      <c r="K609" s="5" t="s">
        <v>994</v>
      </c>
      <c r="L609" s="6">
        <v>38566</v>
      </c>
    </row>
    <row r="610" spans="1:12" x14ac:dyDescent="0.25">
      <c r="A610" s="5">
        <v>609</v>
      </c>
      <c r="B610" s="5" t="s">
        <v>732</v>
      </c>
      <c r="C610" s="5" t="s">
        <v>75</v>
      </c>
      <c r="D610" s="5" t="s">
        <v>35</v>
      </c>
      <c r="E610" s="5" t="s">
        <v>76</v>
      </c>
      <c r="F610" s="5" t="s">
        <v>1115</v>
      </c>
      <c r="G610" s="5">
        <v>7458011331</v>
      </c>
      <c r="H610" s="5" t="s">
        <v>1186</v>
      </c>
      <c r="I610" s="5" t="s">
        <v>158</v>
      </c>
      <c r="J610" s="5" t="s">
        <v>129</v>
      </c>
      <c r="K610" s="5" t="s">
        <v>81</v>
      </c>
      <c r="L610" s="6">
        <v>38375</v>
      </c>
    </row>
    <row r="611" spans="1:12" x14ac:dyDescent="0.25">
      <c r="A611" s="5">
        <v>610</v>
      </c>
      <c r="B611" s="5" t="s">
        <v>1042</v>
      </c>
      <c r="C611" s="5" t="s">
        <v>83</v>
      </c>
      <c r="D611" s="5" t="s">
        <v>35</v>
      </c>
      <c r="E611" s="5" t="s">
        <v>403</v>
      </c>
      <c r="F611" s="5" t="s">
        <v>1043</v>
      </c>
      <c r="G611" s="5">
        <v>6966684501</v>
      </c>
      <c r="H611" s="5" t="s">
        <v>1187</v>
      </c>
      <c r="I611" s="5" t="s">
        <v>158</v>
      </c>
      <c r="J611" s="5" t="s">
        <v>129</v>
      </c>
      <c r="K611" s="5" t="s">
        <v>400</v>
      </c>
      <c r="L611" s="6">
        <v>38679</v>
      </c>
    </row>
    <row r="612" spans="1:12" x14ac:dyDescent="0.25">
      <c r="A612" s="5">
        <v>611</v>
      </c>
      <c r="B612" s="5" t="s">
        <v>195</v>
      </c>
      <c r="C612" s="5" t="s">
        <v>75</v>
      </c>
      <c r="D612" s="5" t="s">
        <v>35</v>
      </c>
      <c r="E612" s="5" t="s">
        <v>1011</v>
      </c>
      <c r="F612" s="5" t="s">
        <v>1069</v>
      </c>
      <c r="G612" s="5">
        <v>9166962971</v>
      </c>
      <c r="H612" s="5" t="s">
        <v>1188</v>
      </c>
      <c r="I612" s="5" t="s">
        <v>158</v>
      </c>
      <c r="J612" s="5" t="s">
        <v>80</v>
      </c>
      <c r="K612" s="5" t="s">
        <v>994</v>
      </c>
      <c r="L612" s="6">
        <v>38462</v>
      </c>
    </row>
    <row r="613" spans="1:12" x14ac:dyDescent="0.25">
      <c r="A613" s="5">
        <v>612</v>
      </c>
      <c r="B613" s="5" t="s">
        <v>406</v>
      </c>
      <c r="C613" s="5" t="s">
        <v>83</v>
      </c>
      <c r="D613" s="5" t="s">
        <v>35</v>
      </c>
      <c r="E613" s="5" t="s">
        <v>1011</v>
      </c>
      <c r="F613" s="5" t="s">
        <v>1027</v>
      </c>
      <c r="G613" s="5">
        <v>6684943918</v>
      </c>
      <c r="H613" s="5" t="s">
        <v>1093</v>
      </c>
      <c r="I613" s="5" t="s">
        <v>158</v>
      </c>
      <c r="J613" s="5" t="s">
        <v>80</v>
      </c>
      <c r="K613" s="5" t="s">
        <v>994</v>
      </c>
      <c r="L613" s="6">
        <v>38543</v>
      </c>
    </row>
    <row r="614" spans="1:12" x14ac:dyDescent="0.25">
      <c r="A614" s="5">
        <v>613</v>
      </c>
      <c r="B614" s="5" t="s">
        <v>396</v>
      </c>
      <c r="C614" s="5" t="s">
        <v>75</v>
      </c>
      <c r="D614" s="5" t="s">
        <v>35</v>
      </c>
      <c r="E614" s="5" t="s">
        <v>1016</v>
      </c>
      <c r="F614" s="5" t="s">
        <v>1012</v>
      </c>
      <c r="G614" s="5">
        <v>7865512162</v>
      </c>
      <c r="H614" s="5" t="s">
        <v>1151</v>
      </c>
      <c r="I614" s="5" t="s">
        <v>158</v>
      </c>
      <c r="J614" s="5" t="s">
        <v>80</v>
      </c>
      <c r="K614" s="5" t="s">
        <v>998</v>
      </c>
      <c r="L614" s="6">
        <v>38697</v>
      </c>
    </row>
    <row r="615" spans="1:12" x14ac:dyDescent="0.25">
      <c r="A615" s="5">
        <v>614</v>
      </c>
      <c r="B615" s="5" t="s">
        <v>276</v>
      </c>
      <c r="C615" s="5" t="s">
        <v>75</v>
      </c>
      <c r="D615" s="5" t="s">
        <v>35</v>
      </c>
      <c r="E615" s="5" t="s">
        <v>995</v>
      </c>
      <c r="F615" s="5" t="s">
        <v>1045</v>
      </c>
      <c r="G615" s="5">
        <v>8073098007</v>
      </c>
      <c r="H615" s="5" t="s">
        <v>1189</v>
      </c>
      <c r="I615" s="5" t="s">
        <v>158</v>
      </c>
      <c r="J615" s="5" t="s">
        <v>80</v>
      </c>
      <c r="K615" s="5" t="s">
        <v>998</v>
      </c>
      <c r="L615" s="6">
        <v>38403</v>
      </c>
    </row>
    <row r="616" spans="1:12" x14ac:dyDescent="0.25">
      <c r="A616" s="5">
        <v>615</v>
      </c>
      <c r="B616" s="5" t="s">
        <v>1042</v>
      </c>
      <c r="C616" s="5" t="s">
        <v>83</v>
      </c>
      <c r="D616" s="5" t="s">
        <v>35</v>
      </c>
      <c r="E616" s="5" t="s">
        <v>1011</v>
      </c>
      <c r="F616" s="5" t="s">
        <v>1043</v>
      </c>
      <c r="G616" s="5">
        <v>8798882547</v>
      </c>
      <c r="H616" s="5" t="s">
        <v>1190</v>
      </c>
      <c r="I616" s="5" t="s">
        <v>158</v>
      </c>
      <c r="J616" s="5" t="s">
        <v>112</v>
      </c>
      <c r="K616" s="5" t="s">
        <v>994</v>
      </c>
      <c r="L616" s="6">
        <v>38422</v>
      </c>
    </row>
    <row r="617" spans="1:12" x14ac:dyDescent="0.25">
      <c r="A617" s="5">
        <v>616</v>
      </c>
      <c r="B617" s="5" t="s">
        <v>208</v>
      </c>
      <c r="C617" s="5" t="s">
        <v>83</v>
      </c>
      <c r="D617" s="5" t="s">
        <v>35</v>
      </c>
      <c r="E617" s="5" t="s">
        <v>403</v>
      </c>
      <c r="F617" s="5" t="s">
        <v>1019</v>
      </c>
      <c r="G617" s="5">
        <v>6834464994</v>
      </c>
      <c r="H617" s="5" t="s">
        <v>1191</v>
      </c>
      <c r="I617" s="5" t="s">
        <v>158</v>
      </c>
      <c r="J617" s="5" t="s">
        <v>80</v>
      </c>
      <c r="K617" s="5" t="s">
        <v>400</v>
      </c>
      <c r="L617" s="6">
        <v>38706</v>
      </c>
    </row>
    <row r="618" spans="1:12" x14ac:dyDescent="0.25">
      <c r="A618" s="5">
        <v>617</v>
      </c>
      <c r="B618" s="5" t="s">
        <v>171</v>
      </c>
      <c r="C618" s="5" t="s">
        <v>75</v>
      </c>
      <c r="D618" s="5" t="s">
        <v>35</v>
      </c>
      <c r="E618" s="5" t="s">
        <v>995</v>
      </c>
      <c r="F618" s="5" t="s">
        <v>1092</v>
      </c>
      <c r="G618" s="5">
        <v>9081501458</v>
      </c>
      <c r="H618" s="5" t="s">
        <v>1038</v>
      </c>
      <c r="I618" s="5" t="s">
        <v>158</v>
      </c>
      <c r="J618" s="5" t="s">
        <v>112</v>
      </c>
      <c r="K618" s="5" t="s">
        <v>998</v>
      </c>
      <c r="L618" s="6">
        <v>38452</v>
      </c>
    </row>
    <row r="619" spans="1:12" x14ac:dyDescent="0.25">
      <c r="A619" s="5">
        <v>618</v>
      </c>
      <c r="B619" s="5" t="s">
        <v>457</v>
      </c>
      <c r="C619" s="5" t="s">
        <v>83</v>
      </c>
      <c r="D619" s="5" t="s">
        <v>35</v>
      </c>
      <c r="E619" s="5" t="s">
        <v>969</v>
      </c>
      <c r="F619" s="5" t="s">
        <v>1086</v>
      </c>
      <c r="G619" s="5">
        <v>6588139343</v>
      </c>
      <c r="H619" s="5" t="s">
        <v>1192</v>
      </c>
      <c r="I619" s="5" t="s">
        <v>158</v>
      </c>
      <c r="J619" s="5" t="s">
        <v>80</v>
      </c>
      <c r="K619" s="5" t="s">
        <v>972</v>
      </c>
      <c r="L619" s="6">
        <v>38588</v>
      </c>
    </row>
    <row r="620" spans="1:12" x14ac:dyDescent="0.25">
      <c r="A620" s="5">
        <v>619</v>
      </c>
      <c r="B620" s="5" t="s">
        <v>540</v>
      </c>
      <c r="C620" s="5" t="s">
        <v>75</v>
      </c>
      <c r="D620" s="5" t="s">
        <v>35</v>
      </c>
      <c r="E620" s="5" t="s">
        <v>1034</v>
      </c>
      <c r="F620" s="5" t="s">
        <v>1193</v>
      </c>
      <c r="G620" s="5">
        <v>7659464288</v>
      </c>
      <c r="H620" s="5" t="s">
        <v>1194</v>
      </c>
      <c r="I620" s="5" t="s">
        <v>158</v>
      </c>
      <c r="J620" s="5" t="s">
        <v>112</v>
      </c>
      <c r="K620" s="5" t="s">
        <v>994</v>
      </c>
      <c r="L620" s="6">
        <v>38447</v>
      </c>
    </row>
    <row r="621" spans="1:12" x14ac:dyDescent="0.25">
      <c r="A621" s="5">
        <v>620</v>
      </c>
      <c r="B621" s="5" t="s">
        <v>682</v>
      </c>
      <c r="C621" s="5" t="s">
        <v>75</v>
      </c>
      <c r="D621" s="5" t="s">
        <v>35</v>
      </c>
      <c r="E621" s="5" t="s">
        <v>1034</v>
      </c>
      <c r="F621" s="5" t="s">
        <v>1142</v>
      </c>
      <c r="G621" s="5">
        <v>9040460313</v>
      </c>
      <c r="H621" s="5" t="s">
        <v>1195</v>
      </c>
      <c r="I621" s="5" t="s">
        <v>158</v>
      </c>
      <c r="J621" s="5" t="s">
        <v>80</v>
      </c>
      <c r="K621" s="5" t="s">
        <v>994</v>
      </c>
      <c r="L621" s="6">
        <v>38554</v>
      </c>
    </row>
    <row r="622" spans="1:12" x14ac:dyDescent="0.25">
      <c r="A622" s="5">
        <v>621</v>
      </c>
      <c r="B622" s="5" t="s">
        <v>514</v>
      </c>
      <c r="C622" s="5" t="s">
        <v>75</v>
      </c>
      <c r="D622" s="5" t="s">
        <v>35</v>
      </c>
      <c r="E622" s="5" t="s">
        <v>995</v>
      </c>
      <c r="F622" s="5" t="s">
        <v>975</v>
      </c>
      <c r="G622" s="5">
        <v>8064937673</v>
      </c>
      <c r="H622" s="5" t="s">
        <v>1169</v>
      </c>
      <c r="I622" s="5" t="s">
        <v>158</v>
      </c>
      <c r="J622" s="5" t="s">
        <v>80</v>
      </c>
      <c r="K622" s="5" t="s">
        <v>998</v>
      </c>
      <c r="L622" s="6">
        <v>38615</v>
      </c>
    </row>
    <row r="623" spans="1:12" x14ac:dyDescent="0.25">
      <c r="A623" s="5">
        <v>622</v>
      </c>
      <c r="B623" s="5" t="s">
        <v>384</v>
      </c>
      <c r="C623" s="5" t="s">
        <v>83</v>
      </c>
      <c r="D623" s="5" t="s">
        <v>35</v>
      </c>
      <c r="E623" s="5" t="s">
        <v>1008</v>
      </c>
      <c r="F623" s="5" t="s">
        <v>1024</v>
      </c>
      <c r="G623" s="5">
        <v>7197010633</v>
      </c>
      <c r="H623" s="5" t="s">
        <v>1169</v>
      </c>
      <c r="I623" s="5" t="s">
        <v>158</v>
      </c>
      <c r="J623" s="5" t="s">
        <v>80</v>
      </c>
      <c r="K623" s="5" t="s">
        <v>998</v>
      </c>
      <c r="L623" s="6">
        <v>38600</v>
      </c>
    </row>
    <row r="624" spans="1:12" x14ac:dyDescent="0.25">
      <c r="A624" s="5">
        <v>623</v>
      </c>
      <c r="B624" s="5" t="s">
        <v>187</v>
      </c>
      <c r="C624" s="5" t="s">
        <v>75</v>
      </c>
      <c r="D624" s="5" t="s">
        <v>35</v>
      </c>
      <c r="E624" s="5" t="s">
        <v>1011</v>
      </c>
      <c r="F624" s="5" t="s">
        <v>1131</v>
      </c>
      <c r="G624" s="5">
        <v>6191153683</v>
      </c>
      <c r="H624" s="5" t="s">
        <v>1196</v>
      </c>
      <c r="I624" s="5" t="s">
        <v>158</v>
      </c>
      <c r="J624" s="5" t="s">
        <v>80</v>
      </c>
      <c r="K624" s="5" t="s">
        <v>994</v>
      </c>
      <c r="L624" s="6">
        <v>38712</v>
      </c>
    </row>
    <row r="625" spans="1:12" x14ac:dyDescent="0.25">
      <c r="A625" s="5">
        <v>624</v>
      </c>
      <c r="B625" s="5" t="s">
        <v>147</v>
      </c>
      <c r="C625" s="5" t="s">
        <v>83</v>
      </c>
      <c r="D625" s="5" t="s">
        <v>35</v>
      </c>
      <c r="E625" s="5" t="s">
        <v>1034</v>
      </c>
      <c r="F625" s="5" t="s">
        <v>1080</v>
      </c>
      <c r="G625" s="5">
        <v>6866177855</v>
      </c>
      <c r="H625" s="5" t="s">
        <v>1197</v>
      </c>
      <c r="I625" s="5" t="s">
        <v>158</v>
      </c>
      <c r="J625" s="5" t="s">
        <v>80</v>
      </c>
      <c r="K625" s="5" t="s">
        <v>994</v>
      </c>
      <c r="L625" s="6">
        <v>38370</v>
      </c>
    </row>
    <row r="626" spans="1:12" x14ac:dyDescent="0.25">
      <c r="A626" s="5">
        <v>625</v>
      </c>
      <c r="B626" s="5" t="s">
        <v>748</v>
      </c>
      <c r="C626" s="5" t="s">
        <v>75</v>
      </c>
      <c r="D626" s="5" t="s">
        <v>35</v>
      </c>
      <c r="E626" s="5" t="s">
        <v>117</v>
      </c>
      <c r="F626" s="5" t="s">
        <v>1082</v>
      </c>
      <c r="G626" s="5">
        <v>9289932284</v>
      </c>
      <c r="H626" s="5" t="s">
        <v>1198</v>
      </c>
      <c r="I626" s="5" t="s">
        <v>158</v>
      </c>
      <c r="J626" s="5" t="s">
        <v>80</v>
      </c>
      <c r="K626" s="5" t="s">
        <v>90</v>
      </c>
      <c r="L626" s="6">
        <v>38673</v>
      </c>
    </row>
    <row r="627" spans="1:12" x14ac:dyDescent="0.25">
      <c r="A627" s="5">
        <v>626</v>
      </c>
      <c r="B627" s="5" t="s">
        <v>91</v>
      </c>
      <c r="C627" s="5" t="s">
        <v>83</v>
      </c>
      <c r="D627" s="5" t="s">
        <v>35</v>
      </c>
      <c r="E627" s="5" t="s">
        <v>1005</v>
      </c>
      <c r="F627" s="5" t="s">
        <v>1094</v>
      </c>
      <c r="G627" s="5">
        <v>9249939699</v>
      </c>
      <c r="H627" s="5" t="s">
        <v>1088</v>
      </c>
      <c r="I627" s="5" t="s">
        <v>158</v>
      </c>
      <c r="J627" s="5" t="s">
        <v>129</v>
      </c>
      <c r="K627" s="5" t="s">
        <v>994</v>
      </c>
      <c r="L627" s="6">
        <v>38387</v>
      </c>
    </row>
    <row r="628" spans="1:12" x14ac:dyDescent="0.25">
      <c r="A628" s="5">
        <v>627</v>
      </c>
      <c r="B628" s="5" t="s">
        <v>406</v>
      </c>
      <c r="C628" s="5" t="s">
        <v>83</v>
      </c>
      <c r="D628" s="5" t="s">
        <v>35</v>
      </c>
      <c r="E628" s="5" t="s">
        <v>87</v>
      </c>
      <c r="F628" s="5" t="s">
        <v>1027</v>
      </c>
      <c r="G628" s="5">
        <v>8102976913</v>
      </c>
      <c r="H628" s="5" t="s">
        <v>1199</v>
      </c>
      <c r="I628" s="5" t="s">
        <v>158</v>
      </c>
      <c r="J628" s="5" t="s">
        <v>129</v>
      </c>
      <c r="K628" s="5" t="s">
        <v>90</v>
      </c>
      <c r="L628" s="6">
        <v>38620</v>
      </c>
    </row>
    <row r="629" spans="1:12" x14ac:dyDescent="0.25">
      <c r="A629" s="5">
        <v>628</v>
      </c>
      <c r="B629" s="5" t="s">
        <v>98</v>
      </c>
      <c r="C629" s="5" t="s">
        <v>83</v>
      </c>
      <c r="D629" s="5" t="s">
        <v>35</v>
      </c>
      <c r="E629" s="5" t="s">
        <v>995</v>
      </c>
      <c r="F629" s="5" t="s">
        <v>978</v>
      </c>
      <c r="G629" s="5">
        <v>9811942057</v>
      </c>
      <c r="H629" s="5" t="s">
        <v>1200</v>
      </c>
      <c r="I629" s="5" t="s">
        <v>158</v>
      </c>
      <c r="J629" s="5" t="s">
        <v>80</v>
      </c>
      <c r="K629" s="5" t="s">
        <v>998</v>
      </c>
      <c r="L629" s="6">
        <v>38504</v>
      </c>
    </row>
    <row r="630" spans="1:12" x14ac:dyDescent="0.25">
      <c r="A630" s="5">
        <v>629</v>
      </c>
      <c r="B630" s="5" t="s">
        <v>191</v>
      </c>
      <c r="C630" s="5" t="s">
        <v>83</v>
      </c>
      <c r="D630" s="5" t="s">
        <v>35</v>
      </c>
      <c r="E630" s="5" t="s">
        <v>1034</v>
      </c>
      <c r="F630" s="5" t="s">
        <v>1084</v>
      </c>
      <c r="G630" s="5">
        <v>6366595521</v>
      </c>
      <c r="H630" s="5" t="s">
        <v>1201</v>
      </c>
      <c r="I630" s="5" t="s">
        <v>158</v>
      </c>
      <c r="J630" s="5" t="s">
        <v>80</v>
      </c>
      <c r="K630" s="5" t="s">
        <v>994</v>
      </c>
      <c r="L630" s="6">
        <v>38546</v>
      </c>
    </row>
    <row r="631" spans="1:12" x14ac:dyDescent="0.25">
      <c r="A631" s="5">
        <v>630</v>
      </c>
      <c r="B631" s="5" t="s">
        <v>317</v>
      </c>
      <c r="C631" s="5" t="s">
        <v>75</v>
      </c>
      <c r="D631" s="5" t="s">
        <v>35</v>
      </c>
      <c r="E631" s="5" t="s">
        <v>1034</v>
      </c>
      <c r="F631" s="5" t="s">
        <v>973</v>
      </c>
      <c r="G631" s="5">
        <v>7959244038</v>
      </c>
      <c r="H631" s="5" t="s">
        <v>1202</v>
      </c>
      <c r="I631" s="5" t="s">
        <v>158</v>
      </c>
      <c r="J631" s="5" t="s">
        <v>80</v>
      </c>
      <c r="K631" s="5" t="s">
        <v>994</v>
      </c>
      <c r="L631" s="6">
        <v>38696</v>
      </c>
    </row>
    <row r="632" spans="1:12" x14ac:dyDescent="0.25">
      <c r="A632" s="5">
        <v>631</v>
      </c>
      <c r="B632" s="5" t="s">
        <v>303</v>
      </c>
      <c r="C632" s="5" t="s">
        <v>83</v>
      </c>
      <c r="D632" s="5" t="s">
        <v>35</v>
      </c>
      <c r="E632" s="5" t="s">
        <v>977</v>
      </c>
      <c r="F632" s="5" t="s">
        <v>1203</v>
      </c>
      <c r="G632" s="5">
        <v>8713263804</v>
      </c>
      <c r="H632" s="5" t="s">
        <v>1204</v>
      </c>
      <c r="I632" s="5" t="s">
        <v>158</v>
      </c>
      <c r="J632" s="5" t="s">
        <v>80</v>
      </c>
      <c r="K632" s="5" t="s">
        <v>972</v>
      </c>
      <c r="L632" s="6">
        <v>38483</v>
      </c>
    </row>
    <row r="633" spans="1:12" x14ac:dyDescent="0.25">
      <c r="A633" s="5">
        <v>632</v>
      </c>
      <c r="B633" s="5" t="s">
        <v>630</v>
      </c>
      <c r="C633" s="5" t="s">
        <v>75</v>
      </c>
      <c r="D633" s="5" t="s">
        <v>35</v>
      </c>
      <c r="E633" s="5" t="s">
        <v>467</v>
      </c>
      <c r="F633" s="5" t="s">
        <v>1144</v>
      </c>
      <c r="G633" s="5">
        <v>6823795512</v>
      </c>
      <c r="H633" s="5" t="s">
        <v>1186</v>
      </c>
      <c r="I633" s="5" t="s">
        <v>158</v>
      </c>
      <c r="J633" s="5" t="s">
        <v>80</v>
      </c>
      <c r="K633" s="5" t="s">
        <v>400</v>
      </c>
      <c r="L633" s="6">
        <v>38482</v>
      </c>
    </row>
    <row r="634" spans="1:12" x14ac:dyDescent="0.25">
      <c r="A634" s="5">
        <v>633</v>
      </c>
      <c r="B634" s="5" t="s">
        <v>198</v>
      </c>
      <c r="C634" s="5" t="s">
        <v>75</v>
      </c>
      <c r="D634" s="5" t="s">
        <v>35</v>
      </c>
      <c r="E634" s="5" t="s">
        <v>1005</v>
      </c>
      <c r="F634" s="5" t="s">
        <v>1058</v>
      </c>
      <c r="G634" s="5">
        <v>9064274780</v>
      </c>
      <c r="H634" s="5" t="s">
        <v>1205</v>
      </c>
      <c r="I634" s="5" t="s">
        <v>158</v>
      </c>
      <c r="J634" s="5" t="s">
        <v>129</v>
      </c>
      <c r="K634" s="5" t="s">
        <v>994</v>
      </c>
      <c r="L634" s="6">
        <v>38678</v>
      </c>
    </row>
    <row r="635" spans="1:12" x14ac:dyDescent="0.25">
      <c r="A635" s="5">
        <v>634</v>
      </c>
      <c r="B635" s="5" t="s">
        <v>505</v>
      </c>
      <c r="C635" s="5" t="s">
        <v>83</v>
      </c>
      <c r="D635" s="5" t="s">
        <v>35</v>
      </c>
      <c r="E635" s="5" t="s">
        <v>1005</v>
      </c>
      <c r="F635" s="5" t="s">
        <v>1175</v>
      </c>
      <c r="G635" s="5">
        <v>6571128430</v>
      </c>
      <c r="H635" s="5" t="s">
        <v>1007</v>
      </c>
      <c r="I635" s="5" t="s">
        <v>158</v>
      </c>
      <c r="J635" s="5" t="s">
        <v>80</v>
      </c>
      <c r="K635" s="5" t="s">
        <v>994</v>
      </c>
      <c r="L635" s="6">
        <v>38475</v>
      </c>
    </row>
    <row r="636" spans="1:12" x14ac:dyDescent="0.25">
      <c r="A636" s="5">
        <v>635</v>
      </c>
      <c r="B636" s="5" t="s">
        <v>6</v>
      </c>
      <c r="C636" s="5" t="s">
        <v>83</v>
      </c>
      <c r="D636" s="5" t="s">
        <v>35</v>
      </c>
      <c r="E636" s="5" t="s">
        <v>109</v>
      </c>
      <c r="F636" s="5" t="s">
        <v>970</v>
      </c>
      <c r="G636" s="5">
        <v>9828984264</v>
      </c>
      <c r="H636" s="5" t="s">
        <v>1206</v>
      </c>
      <c r="I636" s="5" t="s">
        <v>158</v>
      </c>
      <c r="J636" s="5" t="s">
        <v>159</v>
      </c>
      <c r="K636" s="5" t="s">
        <v>81</v>
      </c>
      <c r="L636" s="6">
        <v>38546</v>
      </c>
    </row>
    <row r="637" spans="1:12" x14ac:dyDescent="0.25">
      <c r="A637" s="5">
        <v>636</v>
      </c>
      <c r="B637" s="5" t="s">
        <v>262</v>
      </c>
      <c r="C637" s="5" t="s">
        <v>75</v>
      </c>
      <c r="D637" s="5" t="s">
        <v>35</v>
      </c>
      <c r="E637" s="5" t="s">
        <v>1016</v>
      </c>
      <c r="F637" s="5" t="s">
        <v>1136</v>
      </c>
      <c r="G637" s="5">
        <v>6687771481</v>
      </c>
      <c r="H637" s="5" t="s">
        <v>1207</v>
      </c>
      <c r="I637" s="5" t="s">
        <v>158</v>
      </c>
      <c r="J637" s="5" t="s">
        <v>80</v>
      </c>
      <c r="K637" s="5" t="s">
        <v>998</v>
      </c>
      <c r="L637" s="6">
        <v>38385</v>
      </c>
    </row>
    <row r="638" spans="1:12" x14ac:dyDescent="0.25">
      <c r="A638" s="5">
        <v>637</v>
      </c>
      <c r="B638" s="5" t="s">
        <v>706</v>
      </c>
      <c r="C638" s="5" t="s">
        <v>75</v>
      </c>
      <c r="D638" s="5" t="s">
        <v>35</v>
      </c>
      <c r="E638" s="5" t="s">
        <v>1016</v>
      </c>
      <c r="F638" s="5" t="s">
        <v>996</v>
      </c>
      <c r="G638" s="5">
        <v>6057646095</v>
      </c>
      <c r="H638" s="5" t="s">
        <v>1208</v>
      </c>
      <c r="I638" s="5" t="s">
        <v>158</v>
      </c>
      <c r="J638" s="5" t="s">
        <v>80</v>
      </c>
      <c r="K638" s="5" t="s">
        <v>998</v>
      </c>
      <c r="L638" s="6">
        <v>38359</v>
      </c>
    </row>
    <row r="639" spans="1:12" x14ac:dyDescent="0.25">
      <c r="A639" s="5">
        <v>638</v>
      </c>
      <c r="B639" s="5" t="s">
        <v>357</v>
      </c>
      <c r="C639" s="5" t="s">
        <v>83</v>
      </c>
      <c r="D639" s="5" t="s">
        <v>35</v>
      </c>
      <c r="E639" s="5" t="s">
        <v>977</v>
      </c>
      <c r="F639" s="5" t="s">
        <v>1123</v>
      </c>
      <c r="G639" s="5">
        <v>9220271805</v>
      </c>
      <c r="H639" s="5" t="s">
        <v>1209</v>
      </c>
      <c r="I639" s="5" t="s">
        <v>158</v>
      </c>
      <c r="J639" s="5" t="s">
        <v>159</v>
      </c>
      <c r="K639" s="5" t="s">
        <v>972</v>
      </c>
      <c r="L639" s="6">
        <v>38478</v>
      </c>
    </row>
    <row r="640" spans="1:12" x14ac:dyDescent="0.25">
      <c r="A640" s="5">
        <v>639</v>
      </c>
      <c r="B640" s="5" t="s">
        <v>230</v>
      </c>
      <c r="C640" s="5" t="s">
        <v>75</v>
      </c>
      <c r="D640" s="5" t="s">
        <v>35</v>
      </c>
      <c r="E640" s="5" t="s">
        <v>1016</v>
      </c>
      <c r="F640" s="5" t="s">
        <v>1167</v>
      </c>
      <c r="G640" s="5">
        <v>9790514651</v>
      </c>
      <c r="H640" s="5" t="s">
        <v>1210</v>
      </c>
      <c r="I640" s="5" t="s">
        <v>158</v>
      </c>
      <c r="J640" s="5" t="s">
        <v>80</v>
      </c>
      <c r="K640" s="5" t="s">
        <v>998</v>
      </c>
      <c r="L640" s="6">
        <v>38639</v>
      </c>
    </row>
    <row r="641" spans="1:12" x14ac:dyDescent="0.25">
      <c r="A641" s="5">
        <v>640</v>
      </c>
      <c r="B641" s="5" t="s">
        <v>259</v>
      </c>
      <c r="C641" s="5" t="s">
        <v>75</v>
      </c>
      <c r="D641" s="5" t="s">
        <v>35</v>
      </c>
      <c r="E641" s="5" t="s">
        <v>995</v>
      </c>
      <c r="F641" s="5" t="s">
        <v>980</v>
      </c>
      <c r="G641" s="5">
        <v>8770485913</v>
      </c>
      <c r="H641" s="5" t="s">
        <v>1079</v>
      </c>
      <c r="I641" s="5" t="s">
        <v>158</v>
      </c>
      <c r="J641" s="5" t="s">
        <v>80</v>
      </c>
      <c r="K641" s="5" t="s">
        <v>998</v>
      </c>
      <c r="L641" s="6">
        <v>38569</v>
      </c>
    </row>
    <row r="642" spans="1:12" x14ac:dyDescent="0.25">
      <c r="A642" s="5">
        <v>641</v>
      </c>
      <c r="B642" s="5" t="s">
        <v>377</v>
      </c>
      <c r="C642" s="5" t="s">
        <v>75</v>
      </c>
      <c r="D642" s="5" t="s">
        <v>35</v>
      </c>
      <c r="E642" s="5" t="s">
        <v>467</v>
      </c>
      <c r="F642" s="5" t="s">
        <v>1133</v>
      </c>
      <c r="G642" s="5">
        <v>6261504185</v>
      </c>
      <c r="H642" s="5" t="s">
        <v>1211</v>
      </c>
      <c r="I642" s="5" t="s">
        <v>158</v>
      </c>
      <c r="J642" s="5" t="s">
        <v>80</v>
      </c>
      <c r="K642" s="5" t="s">
        <v>400</v>
      </c>
      <c r="L642" s="6">
        <v>38647</v>
      </c>
    </row>
    <row r="643" spans="1:12" x14ac:dyDescent="0.25">
      <c r="A643" s="5">
        <v>642</v>
      </c>
      <c r="B643" s="5" t="s">
        <v>155</v>
      </c>
      <c r="C643" s="5" t="s">
        <v>75</v>
      </c>
      <c r="D643" s="5" t="s">
        <v>35</v>
      </c>
      <c r="E643" s="5" t="s">
        <v>984</v>
      </c>
      <c r="F643" s="5" t="s">
        <v>1212</v>
      </c>
      <c r="G643" s="5">
        <v>6029809171</v>
      </c>
      <c r="H643" s="5" t="s">
        <v>1213</v>
      </c>
      <c r="I643" s="5" t="s">
        <v>158</v>
      </c>
      <c r="J643" s="5" t="s">
        <v>80</v>
      </c>
      <c r="K643" s="5" t="s">
        <v>972</v>
      </c>
      <c r="L643" s="6">
        <v>38466</v>
      </c>
    </row>
    <row r="644" spans="1:12" x14ac:dyDescent="0.25">
      <c r="A644" s="5">
        <v>643</v>
      </c>
      <c r="B644" s="5" t="s">
        <v>297</v>
      </c>
      <c r="C644" s="5" t="s">
        <v>83</v>
      </c>
      <c r="D644" s="5" t="s">
        <v>35</v>
      </c>
      <c r="E644" s="5" t="s">
        <v>1016</v>
      </c>
      <c r="F644" s="5" t="s">
        <v>1214</v>
      </c>
      <c r="G644" s="5">
        <v>7723080249</v>
      </c>
      <c r="H644" s="5" t="s">
        <v>1215</v>
      </c>
      <c r="I644" s="5" t="s">
        <v>158</v>
      </c>
      <c r="J644" s="5" t="s">
        <v>112</v>
      </c>
      <c r="K644" s="5" t="s">
        <v>998</v>
      </c>
      <c r="L644" s="6">
        <v>38455</v>
      </c>
    </row>
    <row r="645" spans="1:12" x14ac:dyDescent="0.25">
      <c r="A645" s="5">
        <v>644</v>
      </c>
      <c r="B645" s="5" t="s">
        <v>233</v>
      </c>
      <c r="C645" s="5" t="s">
        <v>83</v>
      </c>
      <c r="D645" s="5" t="s">
        <v>35</v>
      </c>
      <c r="E645" s="5" t="s">
        <v>1011</v>
      </c>
      <c r="F645" s="5" t="s">
        <v>1071</v>
      </c>
      <c r="G645" s="5">
        <v>6518766702</v>
      </c>
      <c r="H645" s="5" t="s">
        <v>1216</v>
      </c>
      <c r="I645" s="5" t="s">
        <v>158</v>
      </c>
      <c r="J645" s="5" t="s">
        <v>80</v>
      </c>
      <c r="K645" s="5" t="s">
        <v>994</v>
      </c>
      <c r="L645" s="6">
        <v>38371</v>
      </c>
    </row>
    <row r="646" spans="1:12" x14ac:dyDescent="0.25">
      <c r="A646" s="5">
        <v>645</v>
      </c>
      <c r="B646" s="5" t="s">
        <v>575</v>
      </c>
      <c r="C646" s="5" t="s">
        <v>83</v>
      </c>
      <c r="D646" s="5" t="s">
        <v>35</v>
      </c>
      <c r="E646" s="5" t="s">
        <v>1016</v>
      </c>
      <c r="F646" s="5" t="s">
        <v>1006</v>
      </c>
      <c r="G646" s="5">
        <v>8870284458</v>
      </c>
      <c r="H646" s="5" t="s">
        <v>1217</v>
      </c>
      <c r="I646" s="5" t="s">
        <v>158</v>
      </c>
      <c r="J646" s="5" t="s">
        <v>80</v>
      </c>
      <c r="K646" s="5" t="s">
        <v>998</v>
      </c>
      <c r="L646" s="6">
        <v>38518</v>
      </c>
    </row>
    <row r="647" spans="1:12" x14ac:dyDescent="0.25">
      <c r="A647" s="5">
        <v>646</v>
      </c>
      <c r="B647" s="5" t="s">
        <v>98</v>
      </c>
      <c r="C647" s="5" t="s">
        <v>83</v>
      </c>
      <c r="D647" s="5" t="s">
        <v>35</v>
      </c>
      <c r="E647" s="5" t="s">
        <v>92</v>
      </c>
      <c r="F647" s="5" t="s">
        <v>978</v>
      </c>
      <c r="G647" s="5">
        <v>6918301928</v>
      </c>
      <c r="H647" s="5" t="s">
        <v>1218</v>
      </c>
      <c r="I647" s="5" t="s">
        <v>158</v>
      </c>
      <c r="J647" s="5" t="s">
        <v>80</v>
      </c>
      <c r="K647" s="5" t="s">
        <v>81</v>
      </c>
      <c r="L647" s="6">
        <v>38698</v>
      </c>
    </row>
    <row r="648" spans="1:12" x14ac:dyDescent="0.25">
      <c r="A648" s="5">
        <v>647</v>
      </c>
      <c r="B648" s="5" t="s">
        <v>101</v>
      </c>
      <c r="C648" s="5" t="s">
        <v>75</v>
      </c>
      <c r="D648" s="5" t="s">
        <v>35</v>
      </c>
      <c r="E648" s="5" t="s">
        <v>969</v>
      </c>
      <c r="F648" s="5" t="s">
        <v>1163</v>
      </c>
      <c r="G648" s="5">
        <v>8129286526</v>
      </c>
      <c r="H648" s="5" t="s">
        <v>1219</v>
      </c>
      <c r="I648" s="5" t="s">
        <v>158</v>
      </c>
      <c r="J648" s="5" t="s">
        <v>80</v>
      </c>
      <c r="K648" s="5" t="s">
        <v>972</v>
      </c>
      <c r="L648" s="6">
        <v>38541</v>
      </c>
    </row>
    <row r="649" spans="1:12" x14ac:dyDescent="0.25">
      <c r="A649" s="5">
        <v>648</v>
      </c>
      <c r="B649" s="5" t="s">
        <v>406</v>
      </c>
      <c r="C649" s="5" t="s">
        <v>83</v>
      </c>
      <c r="D649" s="5" t="s">
        <v>35</v>
      </c>
      <c r="E649" s="5" t="s">
        <v>1016</v>
      </c>
      <c r="F649" s="5" t="s">
        <v>1027</v>
      </c>
      <c r="G649" s="5">
        <v>9419232000</v>
      </c>
      <c r="H649" s="5" t="s">
        <v>1220</v>
      </c>
      <c r="I649" s="5" t="s">
        <v>158</v>
      </c>
      <c r="J649" s="5" t="s">
        <v>80</v>
      </c>
      <c r="K649" s="5" t="s">
        <v>998</v>
      </c>
      <c r="L649" s="6">
        <v>38525</v>
      </c>
    </row>
    <row r="650" spans="1:12" x14ac:dyDescent="0.25">
      <c r="A650" s="5">
        <v>649</v>
      </c>
      <c r="B650" s="5" t="s">
        <v>208</v>
      </c>
      <c r="C650" s="5" t="s">
        <v>75</v>
      </c>
      <c r="D650" s="5" t="s">
        <v>35</v>
      </c>
      <c r="E650" s="5" t="s">
        <v>991</v>
      </c>
      <c r="F650" s="5" t="s">
        <v>1019</v>
      </c>
      <c r="G650" s="5">
        <v>7810421021</v>
      </c>
      <c r="H650" s="5" t="s">
        <v>1221</v>
      </c>
      <c r="I650" s="5" t="s">
        <v>158</v>
      </c>
      <c r="J650" s="5" t="s">
        <v>112</v>
      </c>
      <c r="K650" s="5" t="s">
        <v>994</v>
      </c>
      <c r="L650" s="6">
        <v>38445</v>
      </c>
    </row>
    <row r="651" spans="1:12" x14ac:dyDescent="0.25">
      <c r="A651" s="5">
        <v>650</v>
      </c>
      <c r="B651" s="5" t="s">
        <v>168</v>
      </c>
      <c r="C651" s="5" t="s">
        <v>75</v>
      </c>
      <c r="D651" s="5" t="s">
        <v>35</v>
      </c>
      <c r="E651" s="5" t="s">
        <v>1008</v>
      </c>
      <c r="F651" s="5" t="s">
        <v>1155</v>
      </c>
      <c r="G651" s="5">
        <v>8564483607</v>
      </c>
      <c r="H651" s="5" t="s">
        <v>1222</v>
      </c>
      <c r="I651" s="5" t="s">
        <v>158</v>
      </c>
      <c r="J651" s="5" t="s">
        <v>80</v>
      </c>
      <c r="K651" s="5" t="s">
        <v>998</v>
      </c>
      <c r="L651" s="6">
        <v>38608</v>
      </c>
    </row>
    <row r="652" spans="1:12" x14ac:dyDescent="0.25">
      <c r="A652" s="5">
        <v>651</v>
      </c>
      <c r="B652" s="5" t="s">
        <v>130</v>
      </c>
      <c r="C652" s="5" t="s">
        <v>83</v>
      </c>
      <c r="D652" s="5" t="s">
        <v>35</v>
      </c>
      <c r="E652" s="5" t="s">
        <v>984</v>
      </c>
      <c r="F652" s="5" t="s">
        <v>1037</v>
      </c>
      <c r="G652" s="5">
        <v>8376032837</v>
      </c>
      <c r="H652" s="5" t="s">
        <v>1223</v>
      </c>
      <c r="I652" s="5" t="s">
        <v>158</v>
      </c>
      <c r="J652" s="5" t="s">
        <v>80</v>
      </c>
      <c r="K652" s="5" t="s">
        <v>972</v>
      </c>
      <c r="L652" s="6">
        <v>38701</v>
      </c>
    </row>
    <row r="653" spans="1:12" x14ac:dyDescent="0.25">
      <c r="A653" s="5">
        <v>652</v>
      </c>
      <c r="B653" s="5" t="s">
        <v>450</v>
      </c>
      <c r="C653" s="5" t="s">
        <v>75</v>
      </c>
      <c r="D653" s="5" t="s">
        <v>35</v>
      </c>
      <c r="E653" s="5" t="s">
        <v>969</v>
      </c>
      <c r="F653" s="5" t="s">
        <v>1224</v>
      </c>
      <c r="G653" s="5">
        <v>9229819676</v>
      </c>
      <c r="H653" s="5" t="s">
        <v>1225</v>
      </c>
      <c r="I653" s="5" t="s">
        <v>158</v>
      </c>
      <c r="J653" s="5" t="s">
        <v>80</v>
      </c>
      <c r="K653" s="5" t="s">
        <v>972</v>
      </c>
      <c r="L653" s="6">
        <v>38508</v>
      </c>
    </row>
    <row r="654" spans="1:12" x14ac:dyDescent="0.25">
      <c r="A654" s="5">
        <v>653</v>
      </c>
      <c r="B654" s="5" t="s">
        <v>282</v>
      </c>
      <c r="C654" s="5" t="s">
        <v>75</v>
      </c>
      <c r="D654" s="5" t="s">
        <v>35</v>
      </c>
      <c r="E654" s="5" t="s">
        <v>995</v>
      </c>
      <c r="F654" s="5" t="s">
        <v>1226</v>
      </c>
      <c r="G654" s="5">
        <v>7504463954</v>
      </c>
      <c r="H654" s="5" t="s">
        <v>1227</v>
      </c>
      <c r="I654" s="5" t="s">
        <v>158</v>
      </c>
      <c r="J654" s="5" t="s">
        <v>129</v>
      </c>
      <c r="K654" s="5" t="s">
        <v>998</v>
      </c>
      <c r="L654" s="6">
        <v>38455</v>
      </c>
    </row>
    <row r="655" spans="1:12" x14ac:dyDescent="0.25">
      <c r="A655" s="5">
        <v>654</v>
      </c>
      <c r="B655" s="5" t="s">
        <v>177</v>
      </c>
      <c r="C655" s="5" t="s">
        <v>83</v>
      </c>
      <c r="D655" s="5" t="s">
        <v>35</v>
      </c>
      <c r="E655" s="5" t="s">
        <v>977</v>
      </c>
      <c r="F655" s="5" t="s">
        <v>1098</v>
      </c>
      <c r="G655" s="5">
        <v>9848257761</v>
      </c>
      <c r="H655" s="5" t="s">
        <v>1192</v>
      </c>
      <c r="I655" s="5" t="s">
        <v>158</v>
      </c>
      <c r="J655" s="5" t="s">
        <v>80</v>
      </c>
      <c r="K655" s="5" t="s">
        <v>972</v>
      </c>
      <c r="L655" s="6">
        <v>38517</v>
      </c>
    </row>
    <row r="656" spans="1:12" x14ac:dyDescent="0.25">
      <c r="A656" s="5">
        <v>655</v>
      </c>
      <c r="B656" s="5" t="s">
        <v>212</v>
      </c>
      <c r="C656" s="5" t="s">
        <v>83</v>
      </c>
      <c r="D656" s="5" t="s">
        <v>35</v>
      </c>
      <c r="E656" s="5" t="s">
        <v>969</v>
      </c>
      <c r="F656" s="5" t="s">
        <v>989</v>
      </c>
      <c r="G656" s="5">
        <v>6948767267</v>
      </c>
      <c r="H656" s="5" t="s">
        <v>1228</v>
      </c>
      <c r="I656" s="5" t="s">
        <v>158</v>
      </c>
      <c r="J656" s="5" t="s">
        <v>112</v>
      </c>
      <c r="K656" s="5" t="s">
        <v>972</v>
      </c>
      <c r="L656" s="6">
        <v>38515</v>
      </c>
    </row>
    <row r="657" spans="1:12" x14ac:dyDescent="0.25">
      <c r="A657" s="5">
        <v>656</v>
      </c>
      <c r="B657" s="5" t="s">
        <v>600</v>
      </c>
      <c r="C657" s="5" t="s">
        <v>83</v>
      </c>
      <c r="D657" s="5" t="s">
        <v>35</v>
      </c>
      <c r="E657" s="5" t="s">
        <v>1008</v>
      </c>
      <c r="F657" s="5" t="s">
        <v>1121</v>
      </c>
      <c r="G657" s="5">
        <v>6973518458</v>
      </c>
      <c r="H657" s="5" t="s">
        <v>1049</v>
      </c>
      <c r="I657" s="5" t="s">
        <v>158</v>
      </c>
      <c r="J657" s="5" t="s">
        <v>159</v>
      </c>
      <c r="K657" s="5" t="s">
        <v>998</v>
      </c>
      <c r="L657" s="6">
        <v>38672</v>
      </c>
    </row>
    <row r="658" spans="1:12" x14ac:dyDescent="0.25">
      <c r="A658" s="5">
        <v>657</v>
      </c>
      <c r="B658" s="5" t="s">
        <v>82</v>
      </c>
      <c r="C658" s="5" t="s">
        <v>75</v>
      </c>
      <c r="D658" s="5" t="s">
        <v>35</v>
      </c>
      <c r="E658" s="5" t="s">
        <v>984</v>
      </c>
      <c r="F658" s="5" t="s">
        <v>1063</v>
      </c>
      <c r="G658" s="5">
        <v>6608132443</v>
      </c>
      <c r="H658" s="5" t="s">
        <v>1229</v>
      </c>
      <c r="I658" s="5" t="s">
        <v>158</v>
      </c>
      <c r="J658" s="5" t="s">
        <v>80</v>
      </c>
      <c r="K658" s="5" t="s">
        <v>972</v>
      </c>
      <c r="L658" s="6">
        <v>38379</v>
      </c>
    </row>
    <row r="659" spans="1:12" x14ac:dyDescent="0.25">
      <c r="A659" s="5">
        <v>658</v>
      </c>
      <c r="B659" s="5" t="s">
        <v>262</v>
      </c>
      <c r="C659" s="5" t="s">
        <v>75</v>
      </c>
      <c r="D659" s="5" t="s">
        <v>35</v>
      </c>
      <c r="E659" s="5" t="s">
        <v>135</v>
      </c>
      <c r="F659" s="5" t="s">
        <v>1136</v>
      </c>
      <c r="G659" s="5">
        <v>6721753853</v>
      </c>
      <c r="H659" s="5" t="s">
        <v>1230</v>
      </c>
      <c r="I659" s="5" t="s">
        <v>206</v>
      </c>
      <c r="J659" s="5" t="s">
        <v>80</v>
      </c>
      <c r="K659" s="5" t="s">
        <v>81</v>
      </c>
      <c r="L659" s="6">
        <v>38905</v>
      </c>
    </row>
    <row r="660" spans="1:12" x14ac:dyDescent="0.25">
      <c r="A660" s="5">
        <v>659</v>
      </c>
      <c r="B660" s="5" t="s">
        <v>450</v>
      </c>
      <c r="C660" s="5" t="s">
        <v>83</v>
      </c>
      <c r="D660" s="5" t="s">
        <v>35</v>
      </c>
      <c r="E660" s="5" t="s">
        <v>1016</v>
      </c>
      <c r="F660" s="5" t="s">
        <v>1224</v>
      </c>
      <c r="G660" s="5">
        <v>6524275224</v>
      </c>
      <c r="H660" s="5" t="s">
        <v>1231</v>
      </c>
      <c r="I660" s="5" t="s">
        <v>206</v>
      </c>
      <c r="J660" s="5" t="s">
        <v>80</v>
      </c>
      <c r="K660" s="5" t="s">
        <v>998</v>
      </c>
      <c r="L660" s="6">
        <v>39055</v>
      </c>
    </row>
    <row r="661" spans="1:12" x14ac:dyDescent="0.25">
      <c r="A661" s="5">
        <v>660</v>
      </c>
      <c r="B661" s="5" t="s">
        <v>373</v>
      </c>
      <c r="C661" s="5" t="s">
        <v>75</v>
      </c>
      <c r="D661" s="5" t="s">
        <v>35</v>
      </c>
      <c r="E661" s="5" t="s">
        <v>126</v>
      </c>
      <c r="F661" s="5" t="s">
        <v>1056</v>
      </c>
      <c r="G661" s="5">
        <v>8732965917</v>
      </c>
      <c r="H661" s="5" t="s">
        <v>1232</v>
      </c>
      <c r="I661" s="5" t="s">
        <v>206</v>
      </c>
      <c r="J661" s="5" t="s">
        <v>80</v>
      </c>
      <c r="K661" s="5" t="s">
        <v>90</v>
      </c>
      <c r="L661" s="6">
        <v>38967</v>
      </c>
    </row>
    <row r="662" spans="1:12" x14ac:dyDescent="0.25">
      <c r="A662" s="5">
        <v>661</v>
      </c>
      <c r="B662" s="5" t="s">
        <v>303</v>
      </c>
      <c r="C662" s="5" t="s">
        <v>83</v>
      </c>
      <c r="D662" s="5" t="s">
        <v>35</v>
      </c>
      <c r="E662" s="5" t="s">
        <v>1034</v>
      </c>
      <c r="F662" s="5" t="s">
        <v>1203</v>
      </c>
      <c r="G662" s="5">
        <v>8467588095</v>
      </c>
      <c r="H662" s="5" t="s">
        <v>1064</v>
      </c>
      <c r="I662" s="5" t="s">
        <v>206</v>
      </c>
      <c r="J662" s="5" t="s">
        <v>80</v>
      </c>
      <c r="K662" s="5" t="s">
        <v>994</v>
      </c>
      <c r="L662" s="6">
        <v>38843</v>
      </c>
    </row>
    <row r="663" spans="1:12" x14ac:dyDescent="0.25">
      <c r="A663" s="5">
        <v>662</v>
      </c>
      <c r="B663" s="5" t="s">
        <v>259</v>
      </c>
      <c r="C663" s="5" t="s">
        <v>83</v>
      </c>
      <c r="D663" s="5" t="s">
        <v>35</v>
      </c>
      <c r="E663" s="5" t="s">
        <v>1034</v>
      </c>
      <c r="F663" s="5" t="s">
        <v>980</v>
      </c>
      <c r="G663" s="5">
        <v>7785593118</v>
      </c>
      <c r="H663" s="5" t="s">
        <v>1233</v>
      </c>
      <c r="I663" s="5" t="s">
        <v>206</v>
      </c>
      <c r="J663" s="5" t="s">
        <v>129</v>
      </c>
      <c r="K663" s="5" t="s">
        <v>994</v>
      </c>
      <c r="L663" s="6">
        <v>38829</v>
      </c>
    </row>
    <row r="664" spans="1:12" x14ac:dyDescent="0.25">
      <c r="A664" s="5">
        <v>663</v>
      </c>
      <c r="B664" s="5" t="s">
        <v>233</v>
      </c>
      <c r="C664" s="5" t="s">
        <v>83</v>
      </c>
      <c r="D664" s="5" t="s">
        <v>35</v>
      </c>
      <c r="E664" s="5" t="s">
        <v>991</v>
      </c>
      <c r="F664" s="5" t="s">
        <v>1071</v>
      </c>
      <c r="G664" s="5">
        <v>7093883683</v>
      </c>
      <c r="H664" s="5" t="s">
        <v>1234</v>
      </c>
      <c r="I664" s="5" t="s">
        <v>206</v>
      </c>
      <c r="J664" s="5" t="s">
        <v>129</v>
      </c>
      <c r="K664" s="5" t="s">
        <v>994</v>
      </c>
      <c r="L664" s="6">
        <v>39046</v>
      </c>
    </row>
    <row r="665" spans="1:12" x14ac:dyDescent="0.25">
      <c r="A665" s="5">
        <v>664</v>
      </c>
      <c r="B665" s="5" t="s">
        <v>303</v>
      </c>
      <c r="C665" s="5" t="s">
        <v>75</v>
      </c>
      <c r="D665" s="5" t="s">
        <v>35</v>
      </c>
      <c r="E665" s="5" t="s">
        <v>1008</v>
      </c>
      <c r="F665" s="5" t="s">
        <v>1203</v>
      </c>
      <c r="G665" s="5">
        <v>7844244745</v>
      </c>
      <c r="H665" s="5" t="s">
        <v>1235</v>
      </c>
      <c r="I665" s="5" t="s">
        <v>206</v>
      </c>
      <c r="J665" s="5" t="s">
        <v>129</v>
      </c>
      <c r="K665" s="5" t="s">
        <v>998</v>
      </c>
      <c r="L665" s="6">
        <v>38951</v>
      </c>
    </row>
    <row r="666" spans="1:12" x14ac:dyDescent="0.25">
      <c r="A666" s="5">
        <v>665</v>
      </c>
      <c r="B666" s="5" t="s">
        <v>486</v>
      </c>
      <c r="C666" s="5" t="s">
        <v>75</v>
      </c>
      <c r="D666" s="5" t="s">
        <v>35</v>
      </c>
      <c r="E666" s="5" t="s">
        <v>1008</v>
      </c>
      <c r="F666" s="5" t="s">
        <v>982</v>
      </c>
      <c r="G666" s="5">
        <v>6326875161</v>
      </c>
      <c r="H666" s="5" t="s">
        <v>1234</v>
      </c>
      <c r="I666" s="5" t="s">
        <v>206</v>
      </c>
      <c r="J666" s="5" t="s">
        <v>80</v>
      </c>
      <c r="K666" s="5" t="s">
        <v>998</v>
      </c>
      <c r="L666" s="6">
        <v>38888</v>
      </c>
    </row>
    <row r="667" spans="1:12" x14ac:dyDescent="0.25">
      <c r="A667" s="5">
        <v>666</v>
      </c>
      <c r="B667" s="5" t="s">
        <v>155</v>
      </c>
      <c r="C667" s="5" t="s">
        <v>83</v>
      </c>
      <c r="D667" s="5" t="s">
        <v>35</v>
      </c>
      <c r="E667" s="5" t="s">
        <v>1011</v>
      </c>
      <c r="F667" s="5" t="s">
        <v>1212</v>
      </c>
      <c r="G667" s="5">
        <v>9128014273</v>
      </c>
      <c r="H667" s="5" t="s">
        <v>1236</v>
      </c>
      <c r="I667" s="5" t="s">
        <v>206</v>
      </c>
      <c r="J667" s="5" t="s">
        <v>80</v>
      </c>
      <c r="K667" s="5" t="s">
        <v>994</v>
      </c>
      <c r="L667" s="6">
        <v>38996</v>
      </c>
    </row>
    <row r="668" spans="1:12" x14ac:dyDescent="0.25">
      <c r="A668" s="5">
        <v>667</v>
      </c>
      <c r="B668" s="5" t="s">
        <v>228</v>
      </c>
      <c r="C668" s="5" t="s">
        <v>83</v>
      </c>
      <c r="D668" s="5" t="s">
        <v>35</v>
      </c>
      <c r="E668" s="5" t="s">
        <v>1008</v>
      </c>
      <c r="F668" s="5" t="s">
        <v>1046</v>
      </c>
      <c r="G668" s="5">
        <v>8305103955</v>
      </c>
      <c r="H668" s="5" t="s">
        <v>1237</v>
      </c>
      <c r="I668" s="5" t="s">
        <v>206</v>
      </c>
      <c r="J668" s="5" t="s">
        <v>80</v>
      </c>
      <c r="K668" s="5" t="s">
        <v>998</v>
      </c>
      <c r="L668" s="6">
        <v>38937</v>
      </c>
    </row>
    <row r="669" spans="1:12" x14ac:dyDescent="0.25">
      <c r="A669" s="5">
        <v>668</v>
      </c>
      <c r="B669" s="5" t="s">
        <v>101</v>
      </c>
      <c r="C669" s="5" t="s">
        <v>75</v>
      </c>
      <c r="D669" s="5" t="s">
        <v>35</v>
      </c>
      <c r="E669" s="5" t="s">
        <v>109</v>
      </c>
      <c r="F669" s="5" t="s">
        <v>1163</v>
      </c>
      <c r="G669" s="5">
        <v>8514352612</v>
      </c>
      <c r="H669" s="5" t="s">
        <v>1188</v>
      </c>
      <c r="I669" s="5" t="s">
        <v>206</v>
      </c>
      <c r="J669" s="5" t="s">
        <v>80</v>
      </c>
      <c r="K669" s="5" t="s">
        <v>81</v>
      </c>
      <c r="L669" s="6">
        <v>38895</v>
      </c>
    </row>
    <row r="670" spans="1:12" x14ac:dyDescent="0.25">
      <c r="A670" s="5">
        <v>669</v>
      </c>
      <c r="B670" s="5" t="s">
        <v>86</v>
      </c>
      <c r="C670" s="5" t="s">
        <v>83</v>
      </c>
      <c r="D670" s="5" t="s">
        <v>35</v>
      </c>
      <c r="E670" s="5" t="s">
        <v>969</v>
      </c>
      <c r="F670" s="5" t="s">
        <v>1103</v>
      </c>
      <c r="G670" s="5">
        <v>9764322421</v>
      </c>
      <c r="H670" s="5" t="s">
        <v>1238</v>
      </c>
      <c r="I670" s="5" t="s">
        <v>206</v>
      </c>
      <c r="J670" s="5" t="s">
        <v>80</v>
      </c>
      <c r="K670" s="5" t="s">
        <v>972</v>
      </c>
      <c r="L670" s="6">
        <v>38834</v>
      </c>
    </row>
    <row r="671" spans="1:12" x14ac:dyDescent="0.25">
      <c r="A671" s="5">
        <v>670</v>
      </c>
      <c r="B671" s="5" t="s">
        <v>98</v>
      </c>
      <c r="C671" s="5" t="s">
        <v>75</v>
      </c>
      <c r="D671" s="5" t="s">
        <v>35</v>
      </c>
      <c r="E671" s="5" t="s">
        <v>984</v>
      </c>
      <c r="F671" s="5" t="s">
        <v>978</v>
      </c>
      <c r="G671" s="5">
        <v>7959511909</v>
      </c>
      <c r="H671" s="5" t="s">
        <v>1239</v>
      </c>
      <c r="I671" s="5" t="s">
        <v>206</v>
      </c>
      <c r="J671" s="5" t="s">
        <v>80</v>
      </c>
      <c r="K671" s="5" t="s">
        <v>972</v>
      </c>
      <c r="L671" s="6">
        <v>38789</v>
      </c>
    </row>
    <row r="672" spans="1:12" x14ac:dyDescent="0.25">
      <c r="A672" s="5">
        <v>671</v>
      </c>
      <c r="B672" s="5" t="s">
        <v>230</v>
      </c>
      <c r="C672" s="5" t="s">
        <v>83</v>
      </c>
      <c r="D672" s="5" t="s">
        <v>35</v>
      </c>
      <c r="E672" s="5" t="s">
        <v>969</v>
      </c>
      <c r="F672" s="5" t="s">
        <v>1167</v>
      </c>
      <c r="G672" s="5">
        <v>7179262016</v>
      </c>
      <c r="H672" s="5" t="s">
        <v>1010</v>
      </c>
      <c r="I672" s="5" t="s">
        <v>206</v>
      </c>
      <c r="J672" s="5" t="s">
        <v>80</v>
      </c>
      <c r="K672" s="5" t="s">
        <v>972</v>
      </c>
      <c r="L672" s="6">
        <v>38763</v>
      </c>
    </row>
    <row r="673" spans="1:12" x14ac:dyDescent="0.25">
      <c r="A673" s="5">
        <v>672</v>
      </c>
      <c r="B673" s="5" t="s">
        <v>198</v>
      </c>
      <c r="C673" s="5" t="s">
        <v>83</v>
      </c>
      <c r="D673" s="5" t="s">
        <v>35</v>
      </c>
      <c r="E673" s="5" t="s">
        <v>1008</v>
      </c>
      <c r="F673" s="5" t="s">
        <v>1058</v>
      </c>
      <c r="G673" s="5">
        <v>9457616661</v>
      </c>
      <c r="H673" s="5" t="s">
        <v>1240</v>
      </c>
      <c r="I673" s="5" t="s">
        <v>206</v>
      </c>
      <c r="J673" s="5" t="s">
        <v>80</v>
      </c>
      <c r="K673" s="5" t="s">
        <v>998</v>
      </c>
      <c r="L673" s="6">
        <v>39000</v>
      </c>
    </row>
    <row r="674" spans="1:12" x14ac:dyDescent="0.25">
      <c r="A674" s="5">
        <v>673</v>
      </c>
      <c r="B674" s="5" t="s">
        <v>387</v>
      </c>
      <c r="C674" s="5" t="s">
        <v>83</v>
      </c>
      <c r="D674" s="5" t="s">
        <v>35</v>
      </c>
      <c r="E674" s="5" t="s">
        <v>135</v>
      </c>
      <c r="F674" s="5" t="s">
        <v>1074</v>
      </c>
      <c r="G674" s="5">
        <v>6363127888</v>
      </c>
      <c r="H674" s="5" t="s">
        <v>1241</v>
      </c>
      <c r="I674" s="5" t="s">
        <v>206</v>
      </c>
      <c r="J674" s="5" t="s">
        <v>80</v>
      </c>
      <c r="K674" s="5" t="s">
        <v>81</v>
      </c>
      <c r="L674" s="6">
        <v>39076</v>
      </c>
    </row>
    <row r="675" spans="1:12" x14ac:dyDescent="0.25">
      <c r="A675" s="5">
        <v>674</v>
      </c>
      <c r="B675" s="5" t="s">
        <v>141</v>
      </c>
      <c r="C675" s="5" t="s">
        <v>75</v>
      </c>
      <c r="D675" s="5" t="s">
        <v>35</v>
      </c>
      <c r="E675" s="5" t="s">
        <v>991</v>
      </c>
      <c r="F675" s="5" t="s">
        <v>1158</v>
      </c>
      <c r="G675" s="5">
        <v>7295286654</v>
      </c>
      <c r="H675" s="5" t="s">
        <v>1242</v>
      </c>
      <c r="I675" s="5" t="s">
        <v>206</v>
      </c>
      <c r="J675" s="5" t="s">
        <v>80</v>
      </c>
      <c r="K675" s="5" t="s">
        <v>994</v>
      </c>
      <c r="L675" s="6">
        <v>38914</v>
      </c>
    </row>
    <row r="676" spans="1:12" x14ac:dyDescent="0.25">
      <c r="A676" s="5">
        <v>675</v>
      </c>
      <c r="B676" s="5" t="s">
        <v>91</v>
      </c>
      <c r="C676" s="5" t="s">
        <v>83</v>
      </c>
      <c r="D676" s="5" t="s">
        <v>35</v>
      </c>
      <c r="E676" s="5" t="s">
        <v>1016</v>
      </c>
      <c r="F676" s="5" t="s">
        <v>1094</v>
      </c>
      <c r="G676" s="5">
        <v>6421678752</v>
      </c>
      <c r="H676" s="5" t="s">
        <v>1243</v>
      </c>
      <c r="I676" s="5" t="s">
        <v>206</v>
      </c>
      <c r="J676" s="5" t="s">
        <v>80</v>
      </c>
      <c r="K676" s="5" t="s">
        <v>998</v>
      </c>
      <c r="L676" s="6">
        <v>38956</v>
      </c>
    </row>
    <row r="677" spans="1:12" x14ac:dyDescent="0.25">
      <c r="A677" s="5">
        <v>676</v>
      </c>
      <c r="B677" s="5" t="s">
        <v>122</v>
      </c>
      <c r="C677" s="5" t="s">
        <v>75</v>
      </c>
      <c r="D677" s="5" t="s">
        <v>35</v>
      </c>
      <c r="E677" s="5" t="s">
        <v>1034</v>
      </c>
      <c r="F677" s="5" t="s">
        <v>1021</v>
      </c>
      <c r="G677" s="5">
        <v>8755844353</v>
      </c>
      <c r="H677" s="5" t="s">
        <v>1143</v>
      </c>
      <c r="I677" s="5" t="s">
        <v>206</v>
      </c>
      <c r="J677" s="5" t="s">
        <v>80</v>
      </c>
      <c r="K677" s="5" t="s">
        <v>994</v>
      </c>
      <c r="L677" s="6">
        <v>38888</v>
      </c>
    </row>
    <row r="678" spans="1:12" x14ac:dyDescent="0.25">
      <c r="A678" s="5">
        <v>677</v>
      </c>
      <c r="B678" s="5" t="s">
        <v>95</v>
      </c>
      <c r="C678" s="5" t="s">
        <v>83</v>
      </c>
      <c r="D678" s="5" t="s">
        <v>35</v>
      </c>
      <c r="E678" s="5" t="s">
        <v>984</v>
      </c>
      <c r="F678" s="5" t="s">
        <v>1244</v>
      </c>
      <c r="G678" s="5">
        <v>9335024271</v>
      </c>
      <c r="H678" s="5" t="s">
        <v>1020</v>
      </c>
      <c r="I678" s="5" t="s">
        <v>206</v>
      </c>
      <c r="J678" s="5" t="s">
        <v>80</v>
      </c>
      <c r="K678" s="5" t="s">
        <v>972</v>
      </c>
      <c r="L678" s="6">
        <v>38911</v>
      </c>
    </row>
    <row r="679" spans="1:12" x14ac:dyDescent="0.25">
      <c r="A679" s="5">
        <v>678</v>
      </c>
      <c r="B679" s="5" t="s">
        <v>177</v>
      </c>
      <c r="C679" s="5" t="s">
        <v>75</v>
      </c>
      <c r="D679" s="5" t="s">
        <v>35</v>
      </c>
      <c r="E679" s="5" t="s">
        <v>1008</v>
      </c>
      <c r="F679" s="5" t="s">
        <v>1098</v>
      </c>
      <c r="G679" s="5">
        <v>7440380421</v>
      </c>
      <c r="H679" s="5" t="s">
        <v>1245</v>
      </c>
      <c r="I679" s="5" t="s">
        <v>206</v>
      </c>
      <c r="J679" s="5" t="s">
        <v>112</v>
      </c>
      <c r="K679" s="5" t="s">
        <v>998</v>
      </c>
      <c r="L679" s="6">
        <v>38822</v>
      </c>
    </row>
    <row r="680" spans="1:12" x14ac:dyDescent="0.25">
      <c r="A680" s="5">
        <v>679</v>
      </c>
      <c r="B680" s="5" t="s">
        <v>183</v>
      </c>
      <c r="C680" s="5" t="s">
        <v>83</v>
      </c>
      <c r="D680" s="5" t="s">
        <v>35</v>
      </c>
      <c r="E680" s="5" t="s">
        <v>184</v>
      </c>
      <c r="F680" s="5" t="s">
        <v>1166</v>
      </c>
      <c r="G680" s="5">
        <v>9614969084</v>
      </c>
      <c r="H680" s="5" t="s">
        <v>1246</v>
      </c>
      <c r="I680" s="5" t="s">
        <v>206</v>
      </c>
      <c r="J680" s="5" t="s">
        <v>129</v>
      </c>
      <c r="K680" s="5" t="s">
        <v>90</v>
      </c>
      <c r="L680" s="6">
        <v>39018</v>
      </c>
    </row>
    <row r="681" spans="1:12" x14ac:dyDescent="0.25">
      <c r="A681" s="5">
        <v>680</v>
      </c>
      <c r="B681" s="5" t="s">
        <v>134</v>
      </c>
      <c r="C681" s="5" t="s">
        <v>83</v>
      </c>
      <c r="D681" s="5" t="s">
        <v>35</v>
      </c>
      <c r="E681" s="5" t="s">
        <v>184</v>
      </c>
      <c r="F681" s="5" t="s">
        <v>1032</v>
      </c>
      <c r="G681" s="5">
        <v>8672261550</v>
      </c>
      <c r="H681" s="5" t="s">
        <v>1183</v>
      </c>
      <c r="I681" s="5" t="s">
        <v>206</v>
      </c>
      <c r="J681" s="5" t="s">
        <v>80</v>
      </c>
      <c r="K681" s="5" t="s">
        <v>90</v>
      </c>
      <c r="L681" s="6">
        <v>39032</v>
      </c>
    </row>
    <row r="682" spans="1:12" x14ac:dyDescent="0.25">
      <c r="A682" s="5">
        <v>681</v>
      </c>
      <c r="B682" s="5" t="s">
        <v>259</v>
      </c>
      <c r="C682" s="5" t="s">
        <v>83</v>
      </c>
      <c r="D682" s="5" t="s">
        <v>35</v>
      </c>
      <c r="E682" s="5" t="s">
        <v>984</v>
      </c>
      <c r="F682" s="5" t="s">
        <v>980</v>
      </c>
      <c r="G682" s="5">
        <v>8070246534</v>
      </c>
      <c r="H682" s="5" t="s">
        <v>1093</v>
      </c>
      <c r="I682" s="5" t="s">
        <v>206</v>
      </c>
      <c r="J682" s="5" t="s">
        <v>159</v>
      </c>
      <c r="K682" s="5" t="s">
        <v>972</v>
      </c>
      <c r="L682" s="6">
        <v>38903</v>
      </c>
    </row>
    <row r="683" spans="1:12" x14ac:dyDescent="0.25">
      <c r="A683" s="5">
        <v>682</v>
      </c>
      <c r="B683" s="5" t="s">
        <v>661</v>
      </c>
      <c r="C683" s="5" t="s">
        <v>83</v>
      </c>
      <c r="D683" s="5" t="s">
        <v>35</v>
      </c>
      <c r="E683" s="5" t="s">
        <v>438</v>
      </c>
      <c r="F683" s="5" t="s">
        <v>999</v>
      </c>
      <c r="G683" s="5">
        <v>7781256638</v>
      </c>
      <c r="H683" s="5" t="s">
        <v>1199</v>
      </c>
      <c r="I683" s="5" t="s">
        <v>206</v>
      </c>
      <c r="J683" s="5" t="s">
        <v>80</v>
      </c>
      <c r="K683" s="5" t="s">
        <v>400</v>
      </c>
      <c r="L683" s="6">
        <v>38933</v>
      </c>
    </row>
    <row r="684" spans="1:12" x14ac:dyDescent="0.25">
      <c r="A684" s="5">
        <v>683</v>
      </c>
      <c r="B684" s="5" t="s">
        <v>233</v>
      </c>
      <c r="C684" s="5" t="s">
        <v>75</v>
      </c>
      <c r="D684" s="5" t="s">
        <v>35</v>
      </c>
      <c r="E684" s="5" t="s">
        <v>467</v>
      </c>
      <c r="F684" s="5" t="s">
        <v>1071</v>
      </c>
      <c r="G684" s="5">
        <v>9487383488</v>
      </c>
      <c r="H684" s="5" t="s">
        <v>1247</v>
      </c>
      <c r="I684" s="5" t="s">
        <v>206</v>
      </c>
      <c r="J684" s="5" t="s">
        <v>112</v>
      </c>
      <c r="K684" s="5" t="s">
        <v>400</v>
      </c>
      <c r="L684" s="6">
        <v>39048</v>
      </c>
    </row>
    <row r="685" spans="1:12" x14ac:dyDescent="0.25">
      <c r="A685" s="5">
        <v>684</v>
      </c>
      <c r="B685" s="5" t="s">
        <v>138</v>
      </c>
      <c r="C685" s="5" t="s">
        <v>83</v>
      </c>
      <c r="D685" s="5" t="s">
        <v>35</v>
      </c>
      <c r="E685" s="5" t="s">
        <v>995</v>
      </c>
      <c r="F685" s="5" t="s">
        <v>1017</v>
      </c>
      <c r="G685" s="5">
        <v>9893744077</v>
      </c>
      <c r="H685" s="5" t="s">
        <v>1248</v>
      </c>
      <c r="I685" s="5" t="s">
        <v>206</v>
      </c>
      <c r="J685" s="5" t="s">
        <v>80</v>
      </c>
      <c r="K685" s="5" t="s">
        <v>998</v>
      </c>
      <c r="L685" s="6">
        <v>38751</v>
      </c>
    </row>
    <row r="686" spans="1:12" x14ac:dyDescent="0.25">
      <c r="A686" s="5">
        <v>685</v>
      </c>
      <c r="B686" s="5" t="s">
        <v>116</v>
      </c>
      <c r="C686" s="5" t="s">
        <v>83</v>
      </c>
      <c r="D686" s="5" t="s">
        <v>35</v>
      </c>
      <c r="E686" s="5" t="s">
        <v>117</v>
      </c>
      <c r="F686" s="5" t="s">
        <v>1078</v>
      </c>
      <c r="G686" s="5">
        <v>6550890303</v>
      </c>
      <c r="H686" s="5" t="s">
        <v>1249</v>
      </c>
      <c r="I686" s="5" t="s">
        <v>206</v>
      </c>
      <c r="J686" s="5" t="s">
        <v>129</v>
      </c>
      <c r="K686" s="5" t="s">
        <v>90</v>
      </c>
      <c r="L686" s="6">
        <v>38723</v>
      </c>
    </row>
    <row r="687" spans="1:12" x14ac:dyDescent="0.25">
      <c r="A687" s="5">
        <v>686</v>
      </c>
      <c r="B687" s="5" t="s">
        <v>748</v>
      </c>
      <c r="C687" s="5" t="s">
        <v>83</v>
      </c>
      <c r="D687" s="5" t="s">
        <v>35</v>
      </c>
      <c r="E687" s="5" t="s">
        <v>1034</v>
      </c>
      <c r="F687" s="5" t="s">
        <v>1082</v>
      </c>
      <c r="G687" s="5">
        <v>8075796255</v>
      </c>
      <c r="H687" s="5" t="s">
        <v>1250</v>
      </c>
      <c r="I687" s="5" t="s">
        <v>206</v>
      </c>
      <c r="J687" s="5" t="s">
        <v>80</v>
      </c>
      <c r="K687" s="5" t="s">
        <v>994</v>
      </c>
      <c r="L687" s="6">
        <v>38969</v>
      </c>
    </row>
    <row r="688" spans="1:12" x14ac:dyDescent="0.25">
      <c r="A688" s="5">
        <v>687</v>
      </c>
      <c r="B688" s="5" t="s">
        <v>303</v>
      </c>
      <c r="C688" s="5" t="s">
        <v>83</v>
      </c>
      <c r="D688" s="5" t="s">
        <v>35</v>
      </c>
      <c r="E688" s="5" t="s">
        <v>995</v>
      </c>
      <c r="F688" s="5" t="s">
        <v>1203</v>
      </c>
      <c r="G688" s="5">
        <v>6716687228</v>
      </c>
      <c r="H688" s="5" t="s">
        <v>1251</v>
      </c>
      <c r="I688" s="5" t="s">
        <v>206</v>
      </c>
      <c r="J688" s="5" t="s">
        <v>80</v>
      </c>
      <c r="K688" s="5" t="s">
        <v>998</v>
      </c>
      <c r="L688" s="6">
        <v>38771</v>
      </c>
    </row>
    <row r="689" spans="1:12" x14ac:dyDescent="0.25">
      <c r="A689" s="5">
        <v>688</v>
      </c>
      <c r="B689" s="5" t="s">
        <v>303</v>
      </c>
      <c r="C689" s="5" t="s">
        <v>75</v>
      </c>
      <c r="D689" s="5" t="s">
        <v>35</v>
      </c>
      <c r="E689" s="5" t="s">
        <v>397</v>
      </c>
      <c r="F689" s="5" t="s">
        <v>1203</v>
      </c>
      <c r="G689" s="5">
        <v>6598584686</v>
      </c>
      <c r="H689" s="5" t="s">
        <v>1252</v>
      </c>
      <c r="I689" s="5" t="s">
        <v>206</v>
      </c>
      <c r="J689" s="5" t="s">
        <v>80</v>
      </c>
      <c r="K689" s="5" t="s">
        <v>400</v>
      </c>
      <c r="L689" s="6">
        <v>38792</v>
      </c>
    </row>
    <row r="690" spans="1:12" x14ac:dyDescent="0.25">
      <c r="A690" s="5">
        <v>689</v>
      </c>
      <c r="B690" s="5" t="s">
        <v>171</v>
      </c>
      <c r="C690" s="5" t="s">
        <v>75</v>
      </c>
      <c r="D690" s="5" t="s">
        <v>35</v>
      </c>
      <c r="E690" s="5" t="s">
        <v>1016</v>
      </c>
      <c r="F690" s="5" t="s">
        <v>1092</v>
      </c>
      <c r="G690" s="5">
        <v>7913649360</v>
      </c>
      <c r="H690" s="5" t="s">
        <v>1253</v>
      </c>
      <c r="I690" s="5" t="s">
        <v>206</v>
      </c>
      <c r="J690" s="5" t="s">
        <v>129</v>
      </c>
      <c r="K690" s="5" t="s">
        <v>998</v>
      </c>
      <c r="L690" s="6">
        <v>39022</v>
      </c>
    </row>
    <row r="691" spans="1:12" x14ac:dyDescent="0.25">
      <c r="A691" s="5">
        <v>690</v>
      </c>
      <c r="B691" s="5" t="s">
        <v>208</v>
      </c>
      <c r="C691" s="5" t="s">
        <v>83</v>
      </c>
      <c r="D691" s="5" t="s">
        <v>35</v>
      </c>
      <c r="E691" s="5" t="s">
        <v>109</v>
      </c>
      <c r="F691" s="5" t="s">
        <v>1019</v>
      </c>
      <c r="G691" s="5">
        <v>9795250545</v>
      </c>
      <c r="H691" s="5" t="s">
        <v>1254</v>
      </c>
      <c r="I691" s="5" t="s">
        <v>206</v>
      </c>
      <c r="J691" s="5" t="s">
        <v>129</v>
      </c>
      <c r="K691" s="5" t="s">
        <v>81</v>
      </c>
      <c r="L691" s="6">
        <v>38824</v>
      </c>
    </row>
    <row r="692" spans="1:12" x14ac:dyDescent="0.25">
      <c r="A692" s="5">
        <v>691</v>
      </c>
      <c r="B692" s="5" t="s">
        <v>420</v>
      </c>
      <c r="C692" s="5" t="s">
        <v>83</v>
      </c>
      <c r="D692" s="5" t="s">
        <v>35</v>
      </c>
      <c r="E692" s="5" t="s">
        <v>995</v>
      </c>
      <c r="F692" s="5" t="s">
        <v>992</v>
      </c>
      <c r="G692" s="5">
        <v>8083777853</v>
      </c>
      <c r="H692" s="5" t="s">
        <v>1255</v>
      </c>
      <c r="I692" s="5" t="s">
        <v>206</v>
      </c>
      <c r="J692" s="5" t="s">
        <v>80</v>
      </c>
      <c r="K692" s="5" t="s">
        <v>998</v>
      </c>
      <c r="L692" s="6">
        <v>38947</v>
      </c>
    </row>
    <row r="693" spans="1:12" x14ac:dyDescent="0.25">
      <c r="A693" s="5">
        <v>692</v>
      </c>
      <c r="B693" s="5" t="s">
        <v>328</v>
      </c>
      <c r="C693" s="5" t="s">
        <v>75</v>
      </c>
      <c r="D693" s="5" t="s">
        <v>35</v>
      </c>
      <c r="E693" s="5" t="s">
        <v>1011</v>
      </c>
      <c r="F693" s="5" t="s">
        <v>1009</v>
      </c>
      <c r="G693" s="5">
        <v>9707434354</v>
      </c>
      <c r="H693" s="5" t="s">
        <v>1256</v>
      </c>
      <c r="I693" s="5" t="s">
        <v>206</v>
      </c>
      <c r="J693" s="5" t="s">
        <v>80</v>
      </c>
      <c r="K693" s="5" t="s">
        <v>994</v>
      </c>
      <c r="L693" s="6">
        <v>38832</v>
      </c>
    </row>
    <row r="694" spans="1:12" x14ac:dyDescent="0.25">
      <c r="A694" s="5">
        <v>693</v>
      </c>
      <c r="B694" s="5" t="s">
        <v>212</v>
      </c>
      <c r="C694" s="5" t="s">
        <v>83</v>
      </c>
      <c r="D694" s="5" t="s">
        <v>35</v>
      </c>
      <c r="E694" s="5" t="s">
        <v>984</v>
      </c>
      <c r="F694" s="5" t="s">
        <v>989</v>
      </c>
      <c r="G694" s="5">
        <v>6730380867</v>
      </c>
      <c r="H694" s="5" t="s">
        <v>1257</v>
      </c>
      <c r="I694" s="5" t="s">
        <v>206</v>
      </c>
      <c r="J694" s="5" t="s">
        <v>80</v>
      </c>
      <c r="K694" s="5" t="s">
        <v>972</v>
      </c>
      <c r="L694" s="6">
        <v>38985</v>
      </c>
    </row>
    <row r="695" spans="1:12" x14ac:dyDescent="0.25">
      <c r="A695" s="5">
        <v>694</v>
      </c>
      <c r="B695" s="5" t="s">
        <v>550</v>
      </c>
      <c r="C695" s="5" t="s">
        <v>75</v>
      </c>
      <c r="D695" s="5" t="s">
        <v>35</v>
      </c>
      <c r="E695" s="5" t="s">
        <v>977</v>
      </c>
      <c r="F695" s="5" t="s">
        <v>1076</v>
      </c>
      <c r="G695" s="5">
        <v>7348312946</v>
      </c>
      <c r="H695" s="5" t="s">
        <v>988</v>
      </c>
      <c r="I695" s="5" t="s">
        <v>206</v>
      </c>
      <c r="J695" s="5" t="s">
        <v>80</v>
      </c>
      <c r="K695" s="5" t="s">
        <v>972</v>
      </c>
      <c r="L695" s="6">
        <v>38759</v>
      </c>
    </row>
    <row r="696" spans="1:12" x14ac:dyDescent="0.25">
      <c r="A696" s="5">
        <v>695</v>
      </c>
      <c r="B696" s="5" t="s">
        <v>174</v>
      </c>
      <c r="C696" s="5" t="s">
        <v>75</v>
      </c>
      <c r="D696" s="5" t="s">
        <v>35</v>
      </c>
      <c r="E696" s="5" t="s">
        <v>1011</v>
      </c>
      <c r="F696" s="5" t="s">
        <v>1140</v>
      </c>
      <c r="G696" s="5">
        <v>8805576006</v>
      </c>
      <c r="H696" s="5" t="s">
        <v>1183</v>
      </c>
      <c r="I696" s="5" t="s">
        <v>206</v>
      </c>
      <c r="J696" s="5" t="s">
        <v>80</v>
      </c>
      <c r="K696" s="5" t="s">
        <v>994</v>
      </c>
      <c r="L696" s="6">
        <v>38735</v>
      </c>
    </row>
    <row r="697" spans="1:12" x14ac:dyDescent="0.25">
      <c r="A697" s="5">
        <v>696</v>
      </c>
      <c r="B697" s="5" t="s">
        <v>641</v>
      </c>
      <c r="C697" s="5" t="s">
        <v>83</v>
      </c>
      <c r="D697" s="5" t="s">
        <v>35</v>
      </c>
      <c r="E697" s="5" t="s">
        <v>995</v>
      </c>
      <c r="F697" s="5" t="s">
        <v>1258</v>
      </c>
      <c r="G697" s="5">
        <v>9531122800</v>
      </c>
      <c r="H697" s="5" t="s">
        <v>993</v>
      </c>
      <c r="I697" s="5" t="s">
        <v>206</v>
      </c>
      <c r="J697" s="5" t="s">
        <v>80</v>
      </c>
      <c r="K697" s="5" t="s">
        <v>998</v>
      </c>
      <c r="L697" s="6">
        <v>38917</v>
      </c>
    </row>
    <row r="698" spans="1:12" x14ac:dyDescent="0.25">
      <c r="A698" s="5">
        <v>697</v>
      </c>
      <c r="B698" s="5" t="s">
        <v>706</v>
      </c>
      <c r="C698" s="5" t="s">
        <v>83</v>
      </c>
      <c r="D698" s="5" t="s">
        <v>35</v>
      </c>
      <c r="E698" s="5" t="s">
        <v>991</v>
      </c>
      <c r="F698" s="5" t="s">
        <v>996</v>
      </c>
      <c r="G698" s="5">
        <v>6101715992</v>
      </c>
      <c r="H698" s="5" t="s">
        <v>1200</v>
      </c>
      <c r="I698" s="5" t="s">
        <v>206</v>
      </c>
      <c r="J698" s="5" t="s">
        <v>112</v>
      </c>
      <c r="K698" s="5" t="s">
        <v>994</v>
      </c>
      <c r="L698" s="6">
        <v>38881</v>
      </c>
    </row>
    <row r="699" spans="1:12" x14ac:dyDescent="0.25">
      <c r="A699" s="5">
        <v>698</v>
      </c>
      <c r="B699" s="5" t="s">
        <v>151</v>
      </c>
      <c r="C699" s="5" t="s">
        <v>83</v>
      </c>
      <c r="D699" s="5" t="s">
        <v>35</v>
      </c>
      <c r="E699" s="5" t="s">
        <v>984</v>
      </c>
      <c r="F699" s="5" t="s">
        <v>1105</v>
      </c>
      <c r="G699" s="5">
        <v>7223655891</v>
      </c>
      <c r="H699" s="5" t="s">
        <v>1259</v>
      </c>
      <c r="I699" s="5" t="s">
        <v>206</v>
      </c>
      <c r="J699" s="5" t="s">
        <v>112</v>
      </c>
      <c r="K699" s="5" t="s">
        <v>972</v>
      </c>
      <c r="L699" s="6">
        <v>38785</v>
      </c>
    </row>
    <row r="700" spans="1:12" x14ac:dyDescent="0.25">
      <c r="A700" s="5">
        <v>699</v>
      </c>
      <c r="B700" s="5" t="s">
        <v>303</v>
      </c>
      <c r="C700" s="5" t="s">
        <v>75</v>
      </c>
      <c r="D700" s="5" t="s">
        <v>35</v>
      </c>
      <c r="E700" s="5" t="s">
        <v>1008</v>
      </c>
      <c r="F700" s="5" t="s">
        <v>1203</v>
      </c>
      <c r="G700" s="5">
        <v>7876976556</v>
      </c>
      <c r="H700" s="5" t="s">
        <v>1251</v>
      </c>
      <c r="I700" s="5" t="s">
        <v>206</v>
      </c>
      <c r="J700" s="5" t="s">
        <v>112</v>
      </c>
      <c r="K700" s="5" t="s">
        <v>998</v>
      </c>
      <c r="L700" s="6">
        <v>39010</v>
      </c>
    </row>
    <row r="701" spans="1:12" x14ac:dyDescent="0.25">
      <c r="A701" s="5">
        <v>700</v>
      </c>
      <c r="B701" s="5" t="s">
        <v>417</v>
      </c>
      <c r="C701" s="5" t="s">
        <v>75</v>
      </c>
      <c r="D701" s="5" t="s">
        <v>35</v>
      </c>
      <c r="E701" s="5" t="s">
        <v>1005</v>
      </c>
      <c r="F701" s="5" t="s">
        <v>1014</v>
      </c>
      <c r="G701" s="5">
        <v>9778987619</v>
      </c>
      <c r="H701" s="5" t="s">
        <v>1260</v>
      </c>
      <c r="I701" s="5" t="s">
        <v>206</v>
      </c>
      <c r="J701" s="5" t="s">
        <v>80</v>
      </c>
      <c r="K701" s="5" t="s">
        <v>994</v>
      </c>
      <c r="L701" s="6">
        <v>38966</v>
      </c>
    </row>
    <row r="702" spans="1:12" x14ac:dyDescent="0.25">
      <c r="A702" s="5">
        <v>701</v>
      </c>
      <c r="B702" s="5" t="s">
        <v>180</v>
      </c>
      <c r="C702" s="5" t="s">
        <v>75</v>
      </c>
      <c r="D702" s="5" t="s">
        <v>35</v>
      </c>
      <c r="E702" s="5" t="s">
        <v>1011</v>
      </c>
      <c r="F702" s="5" t="s">
        <v>1146</v>
      </c>
      <c r="G702" s="5">
        <v>9109949057</v>
      </c>
      <c r="H702" s="5" t="s">
        <v>1261</v>
      </c>
      <c r="I702" s="5" t="s">
        <v>206</v>
      </c>
      <c r="J702" s="5" t="s">
        <v>80</v>
      </c>
      <c r="K702" s="5" t="s">
        <v>994</v>
      </c>
      <c r="L702" s="6">
        <v>38848</v>
      </c>
    </row>
    <row r="703" spans="1:12" x14ac:dyDescent="0.25">
      <c r="A703" s="5">
        <v>702</v>
      </c>
      <c r="B703" s="5" t="s">
        <v>384</v>
      </c>
      <c r="C703" s="5" t="s">
        <v>75</v>
      </c>
      <c r="D703" s="5" t="s">
        <v>35</v>
      </c>
      <c r="E703" s="5" t="s">
        <v>1005</v>
      </c>
      <c r="F703" s="5" t="s">
        <v>1024</v>
      </c>
      <c r="G703" s="5">
        <v>7646608544</v>
      </c>
      <c r="H703" s="5" t="s">
        <v>1262</v>
      </c>
      <c r="I703" s="5" t="s">
        <v>206</v>
      </c>
      <c r="J703" s="5" t="s">
        <v>80</v>
      </c>
      <c r="K703" s="5" t="s">
        <v>994</v>
      </c>
      <c r="L703" s="6">
        <v>38732</v>
      </c>
    </row>
    <row r="704" spans="1:12" x14ac:dyDescent="0.25">
      <c r="A704" s="5">
        <v>703</v>
      </c>
      <c r="B704" s="5" t="s">
        <v>384</v>
      </c>
      <c r="C704" s="5" t="s">
        <v>83</v>
      </c>
      <c r="D704" s="5" t="s">
        <v>35</v>
      </c>
      <c r="E704" s="5" t="s">
        <v>76</v>
      </c>
      <c r="F704" s="5" t="s">
        <v>1024</v>
      </c>
      <c r="G704" s="5">
        <v>6386780623</v>
      </c>
      <c r="H704" s="5" t="s">
        <v>1263</v>
      </c>
      <c r="I704" s="5" t="s">
        <v>206</v>
      </c>
      <c r="J704" s="5" t="s">
        <v>80</v>
      </c>
      <c r="K704" s="5" t="s">
        <v>81</v>
      </c>
      <c r="L704" s="6">
        <v>38778</v>
      </c>
    </row>
    <row r="705" spans="1:12" x14ac:dyDescent="0.25">
      <c r="A705" s="5">
        <v>704</v>
      </c>
      <c r="B705" s="5" t="s">
        <v>457</v>
      </c>
      <c r="C705" s="5" t="s">
        <v>75</v>
      </c>
      <c r="D705" s="5" t="s">
        <v>35</v>
      </c>
      <c r="E705" s="5" t="s">
        <v>969</v>
      </c>
      <c r="F705" s="5" t="s">
        <v>1086</v>
      </c>
      <c r="G705" s="5">
        <v>7185797256</v>
      </c>
      <c r="H705" s="5" t="s">
        <v>1102</v>
      </c>
      <c r="I705" s="5" t="s">
        <v>206</v>
      </c>
      <c r="J705" s="5" t="s">
        <v>112</v>
      </c>
      <c r="K705" s="5" t="s">
        <v>972</v>
      </c>
      <c r="L705" s="6">
        <v>38931</v>
      </c>
    </row>
    <row r="706" spans="1:12" x14ac:dyDescent="0.25">
      <c r="A706" s="5">
        <v>705</v>
      </c>
      <c r="B706" s="5" t="s">
        <v>174</v>
      </c>
      <c r="C706" s="5" t="s">
        <v>75</v>
      </c>
      <c r="D706" s="5" t="s">
        <v>35</v>
      </c>
      <c r="E706" s="5" t="s">
        <v>977</v>
      </c>
      <c r="F706" s="5" t="s">
        <v>1140</v>
      </c>
      <c r="G706" s="5">
        <v>6248474296</v>
      </c>
      <c r="H706" s="5" t="s">
        <v>1264</v>
      </c>
      <c r="I706" s="5" t="s">
        <v>206</v>
      </c>
      <c r="J706" s="5" t="s">
        <v>129</v>
      </c>
      <c r="K706" s="5" t="s">
        <v>972</v>
      </c>
      <c r="L706" s="6">
        <v>38787</v>
      </c>
    </row>
    <row r="707" spans="1:12" x14ac:dyDescent="0.25">
      <c r="A707" s="5">
        <v>706</v>
      </c>
      <c r="B707" s="5" t="s">
        <v>575</v>
      </c>
      <c r="C707" s="5" t="s">
        <v>83</v>
      </c>
      <c r="D707" s="5" t="s">
        <v>35</v>
      </c>
      <c r="E707" s="5" t="s">
        <v>977</v>
      </c>
      <c r="F707" s="5" t="s">
        <v>1006</v>
      </c>
      <c r="G707" s="5">
        <v>8244651746</v>
      </c>
      <c r="H707" s="5" t="s">
        <v>981</v>
      </c>
      <c r="I707" s="5" t="s">
        <v>206</v>
      </c>
      <c r="J707" s="5" t="s">
        <v>80</v>
      </c>
      <c r="K707" s="5" t="s">
        <v>972</v>
      </c>
      <c r="L707" s="6">
        <v>38890</v>
      </c>
    </row>
    <row r="708" spans="1:12" x14ac:dyDescent="0.25">
      <c r="A708" s="5">
        <v>707</v>
      </c>
      <c r="B708" s="5" t="s">
        <v>228</v>
      </c>
      <c r="C708" s="5" t="s">
        <v>83</v>
      </c>
      <c r="D708" s="5" t="s">
        <v>35</v>
      </c>
      <c r="E708" s="5" t="s">
        <v>995</v>
      </c>
      <c r="F708" s="5" t="s">
        <v>1046</v>
      </c>
      <c r="G708" s="5">
        <v>9125009359</v>
      </c>
      <c r="H708" s="5" t="s">
        <v>1265</v>
      </c>
      <c r="I708" s="5" t="s">
        <v>206</v>
      </c>
      <c r="J708" s="5" t="s">
        <v>129</v>
      </c>
      <c r="K708" s="5" t="s">
        <v>998</v>
      </c>
      <c r="L708" s="6">
        <v>38855</v>
      </c>
    </row>
    <row r="709" spans="1:12" x14ac:dyDescent="0.25">
      <c r="A709" s="5">
        <v>708</v>
      </c>
      <c r="B709" s="5" t="s">
        <v>661</v>
      </c>
      <c r="C709" s="5" t="s">
        <v>83</v>
      </c>
      <c r="D709" s="5" t="s">
        <v>35</v>
      </c>
      <c r="E709" s="5" t="s">
        <v>117</v>
      </c>
      <c r="F709" s="5" t="s">
        <v>999</v>
      </c>
      <c r="G709" s="5">
        <v>7924144160</v>
      </c>
      <c r="H709" s="5" t="s">
        <v>1262</v>
      </c>
      <c r="I709" s="5" t="s">
        <v>206</v>
      </c>
      <c r="J709" s="5" t="s">
        <v>80</v>
      </c>
      <c r="K709" s="5" t="s">
        <v>90</v>
      </c>
      <c r="L709" s="6">
        <v>38754</v>
      </c>
    </row>
    <row r="710" spans="1:12" x14ac:dyDescent="0.25">
      <c r="A710" s="5">
        <v>709</v>
      </c>
      <c r="B710" s="5" t="s">
        <v>406</v>
      </c>
      <c r="C710" s="5" t="s">
        <v>83</v>
      </c>
      <c r="D710" s="5" t="s">
        <v>35</v>
      </c>
      <c r="E710" s="5" t="s">
        <v>1016</v>
      </c>
      <c r="F710" s="5" t="s">
        <v>1027</v>
      </c>
      <c r="G710" s="5">
        <v>6643404272</v>
      </c>
      <c r="H710" s="5" t="s">
        <v>1266</v>
      </c>
      <c r="I710" s="5" t="s">
        <v>206</v>
      </c>
      <c r="J710" s="5" t="s">
        <v>112</v>
      </c>
      <c r="K710" s="5" t="s">
        <v>998</v>
      </c>
      <c r="L710" s="6">
        <v>38926</v>
      </c>
    </row>
    <row r="711" spans="1:12" x14ac:dyDescent="0.25">
      <c r="A711" s="5">
        <v>710</v>
      </c>
      <c r="B711" s="5" t="s">
        <v>230</v>
      </c>
      <c r="C711" s="5" t="s">
        <v>75</v>
      </c>
      <c r="D711" s="5" t="s">
        <v>35</v>
      </c>
      <c r="E711" s="5" t="s">
        <v>1034</v>
      </c>
      <c r="F711" s="5" t="s">
        <v>1167</v>
      </c>
      <c r="G711" s="5">
        <v>6168941958</v>
      </c>
      <c r="H711" s="5" t="s">
        <v>1267</v>
      </c>
      <c r="I711" s="5" t="s">
        <v>206</v>
      </c>
      <c r="J711" s="5" t="s">
        <v>80</v>
      </c>
      <c r="K711" s="5" t="s">
        <v>994</v>
      </c>
      <c r="L711" s="6">
        <v>38911</v>
      </c>
    </row>
    <row r="712" spans="1:12" x14ac:dyDescent="0.25">
      <c r="A712" s="5">
        <v>711</v>
      </c>
      <c r="B712" s="5" t="s">
        <v>317</v>
      </c>
      <c r="C712" s="5" t="s">
        <v>83</v>
      </c>
      <c r="D712" s="5" t="s">
        <v>35</v>
      </c>
      <c r="E712" s="5" t="s">
        <v>438</v>
      </c>
      <c r="F712" s="5" t="s">
        <v>973</v>
      </c>
      <c r="G712" s="5">
        <v>6558552123</v>
      </c>
      <c r="H712" s="5" t="s">
        <v>1268</v>
      </c>
      <c r="I712" s="5" t="s">
        <v>206</v>
      </c>
      <c r="J712" s="5" t="s">
        <v>112</v>
      </c>
      <c r="K712" s="5" t="s">
        <v>400</v>
      </c>
      <c r="L712" s="6">
        <v>38976</v>
      </c>
    </row>
    <row r="713" spans="1:12" x14ac:dyDescent="0.25">
      <c r="A713" s="5">
        <v>712</v>
      </c>
      <c r="B713" s="5" t="s">
        <v>514</v>
      </c>
      <c r="C713" s="5" t="s">
        <v>75</v>
      </c>
      <c r="D713" s="5" t="s">
        <v>35</v>
      </c>
      <c r="E713" s="5" t="s">
        <v>1016</v>
      </c>
      <c r="F713" s="5" t="s">
        <v>975</v>
      </c>
      <c r="G713" s="5">
        <v>6098102724</v>
      </c>
      <c r="H713" s="5" t="s">
        <v>1101</v>
      </c>
      <c r="I713" s="5" t="s">
        <v>206</v>
      </c>
      <c r="J713" s="5" t="s">
        <v>159</v>
      </c>
      <c r="K713" s="5" t="s">
        <v>998</v>
      </c>
      <c r="L713" s="6">
        <v>39062</v>
      </c>
    </row>
    <row r="714" spans="1:12" x14ac:dyDescent="0.25">
      <c r="A714" s="5">
        <v>713</v>
      </c>
      <c r="B714" s="5" t="s">
        <v>95</v>
      </c>
      <c r="C714" s="5" t="s">
        <v>75</v>
      </c>
      <c r="D714" s="5" t="s">
        <v>35</v>
      </c>
      <c r="E714" s="5" t="s">
        <v>1016</v>
      </c>
      <c r="F714" s="5" t="s">
        <v>1244</v>
      </c>
      <c r="G714" s="5">
        <v>9861437779</v>
      </c>
      <c r="H714" s="5" t="s">
        <v>1039</v>
      </c>
      <c r="I714" s="5" t="s">
        <v>206</v>
      </c>
      <c r="J714" s="5" t="s">
        <v>80</v>
      </c>
      <c r="K714" s="5" t="s">
        <v>998</v>
      </c>
      <c r="L714" s="6">
        <v>38919</v>
      </c>
    </row>
    <row r="715" spans="1:12" x14ac:dyDescent="0.25">
      <c r="A715" s="5">
        <v>714</v>
      </c>
      <c r="B715" s="5" t="s">
        <v>297</v>
      </c>
      <c r="C715" s="5" t="s">
        <v>83</v>
      </c>
      <c r="D715" s="5" t="s">
        <v>35</v>
      </c>
      <c r="E715" s="5" t="s">
        <v>984</v>
      </c>
      <c r="F715" s="5" t="s">
        <v>1214</v>
      </c>
      <c r="G715" s="5">
        <v>9079314687</v>
      </c>
      <c r="H715" s="5" t="s">
        <v>1269</v>
      </c>
      <c r="I715" s="5" t="s">
        <v>206</v>
      </c>
      <c r="J715" s="5" t="s">
        <v>80</v>
      </c>
      <c r="K715" s="5" t="s">
        <v>972</v>
      </c>
      <c r="L715" s="6">
        <v>38992</v>
      </c>
    </row>
    <row r="716" spans="1:12" x14ac:dyDescent="0.25">
      <c r="A716" s="5">
        <v>715</v>
      </c>
      <c r="B716" s="5" t="s">
        <v>74</v>
      </c>
      <c r="C716" s="5" t="s">
        <v>75</v>
      </c>
      <c r="D716" s="5" t="s">
        <v>35</v>
      </c>
      <c r="E716" s="5" t="s">
        <v>397</v>
      </c>
      <c r="F716" s="5" t="s">
        <v>1035</v>
      </c>
      <c r="G716" s="5">
        <v>7150049530</v>
      </c>
      <c r="H716" s="5" t="s">
        <v>1221</v>
      </c>
      <c r="I716" s="5" t="s">
        <v>206</v>
      </c>
      <c r="J716" s="5" t="s">
        <v>80</v>
      </c>
      <c r="K716" s="5" t="s">
        <v>400</v>
      </c>
      <c r="L716" s="6">
        <v>38924</v>
      </c>
    </row>
    <row r="717" spans="1:12" x14ac:dyDescent="0.25">
      <c r="A717" s="5">
        <v>716</v>
      </c>
      <c r="B717" s="5" t="s">
        <v>762</v>
      </c>
      <c r="C717" s="5" t="s">
        <v>83</v>
      </c>
      <c r="D717" s="5" t="s">
        <v>35</v>
      </c>
      <c r="E717" s="5" t="s">
        <v>184</v>
      </c>
      <c r="F717" s="5" t="s">
        <v>1108</v>
      </c>
      <c r="G717" s="5">
        <v>6077645435</v>
      </c>
      <c r="H717" s="5" t="s">
        <v>1207</v>
      </c>
      <c r="I717" s="5" t="s">
        <v>206</v>
      </c>
      <c r="J717" s="5" t="s">
        <v>80</v>
      </c>
      <c r="K717" s="5" t="s">
        <v>90</v>
      </c>
      <c r="L717" s="6">
        <v>38886</v>
      </c>
    </row>
    <row r="718" spans="1:12" x14ac:dyDescent="0.25">
      <c r="A718" s="5">
        <v>717</v>
      </c>
      <c r="B718" s="5" t="s">
        <v>262</v>
      </c>
      <c r="C718" s="5" t="s">
        <v>83</v>
      </c>
      <c r="D718" s="5" t="s">
        <v>35</v>
      </c>
      <c r="E718" s="5" t="s">
        <v>1034</v>
      </c>
      <c r="F718" s="5" t="s">
        <v>1136</v>
      </c>
      <c r="G718" s="5">
        <v>9637866425</v>
      </c>
      <c r="H718" s="5" t="s">
        <v>1270</v>
      </c>
      <c r="I718" s="5" t="s">
        <v>206</v>
      </c>
      <c r="J718" s="5" t="s">
        <v>80</v>
      </c>
      <c r="K718" s="5" t="s">
        <v>994</v>
      </c>
      <c r="L718" s="6">
        <v>39067</v>
      </c>
    </row>
    <row r="719" spans="1:12" x14ac:dyDescent="0.25">
      <c r="A719" s="5">
        <v>718</v>
      </c>
      <c r="B719" s="5" t="s">
        <v>630</v>
      </c>
      <c r="C719" s="5" t="s">
        <v>83</v>
      </c>
      <c r="D719" s="5" t="s">
        <v>35</v>
      </c>
      <c r="E719" s="5" t="s">
        <v>995</v>
      </c>
      <c r="F719" s="5" t="s">
        <v>1144</v>
      </c>
      <c r="G719" s="5">
        <v>8527452800</v>
      </c>
      <c r="H719" s="5" t="s">
        <v>1271</v>
      </c>
      <c r="I719" s="5" t="s">
        <v>206</v>
      </c>
      <c r="J719" s="5" t="s">
        <v>80</v>
      </c>
      <c r="K719" s="5" t="s">
        <v>998</v>
      </c>
      <c r="L719" s="6">
        <v>39037</v>
      </c>
    </row>
    <row r="720" spans="1:12" x14ac:dyDescent="0.25">
      <c r="A720" s="5">
        <v>719</v>
      </c>
      <c r="B720" s="5" t="s">
        <v>612</v>
      </c>
      <c r="C720" s="5" t="s">
        <v>75</v>
      </c>
      <c r="D720" s="5" t="s">
        <v>35</v>
      </c>
      <c r="E720" s="5" t="s">
        <v>995</v>
      </c>
      <c r="F720" s="5" t="s">
        <v>1272</v>
      </c>
      <c r="G720" s="5">
        <v>9907548249</v>
      </c>
      <c r="H720" s="5" t="s">
        <v>1273</v>
      </c>
      <c r="I720" s="5" t="s">
        <v>206</v>
      </c>
      <c r="J720" s="5" t="s">
        <v>80</v>
      </c>
      <c r="K720" s="5" t="s">
        <v>998</v>
      </c>
      <c r="L720" s="6">
        <v>38943</v>
      </c>
    </row>
    <row r="721" spans="1:12" x14ac:dyDescent="0.25">
      <c r="A721" s="5">
        <v>720</v>
      </c>
      <c r="B721" s="5" t="s">
        <v>221</v>
      </c>
      <c r="C721" s="5" t="s">
        <v>83</v>
      </c>
      <c r="D721" s="5" t="s">
        <v>35</v>
      </c>
      <c r="E721" s="5" t="s">
        <v>1005</v>
      </c>
      <c r="F721" s="5" t="s">
        <v>1274</v>
      </c>
      <c r="G721" s="5">
        <v>7587330920</v>
      </c>
      <c r="H721" s="5" t="s">
        <v>1275</v>
      </c>
      <c r="I721" s="5" t="s">
        <v>206</v>
      </c>
      <c r="J721" s="5" t="s">
        <v>80</v>
      </c>
      <c r="K721" s="5" t="s">
        <v>994</v>
      </c>
      <c r="L721" s="6">
        <v>38876</v>
      </c>
    </row>
    <row r="722" spans="1:12" x14ac:dyDescent="0.25">
      <c r="A722" s="5">
        <v>721</v>
      </c>
      <c r="B722" s="5" t="s">
        <v>328</v>
      </c>
      <c r="C722" s="5" t="s">
        <v>75</v>
      </c>
      <c r="D722" s="5" t="s">
        <v>35</v>
      </c>
      <c r="E722" s="5" t="s">
        <v>397</v>
      </c>
      <c r="F722" s="5" t="s">
        <v>1009</v>
      </c>
      <c r="G722" s="5">
        <v>8378692521</v>
      </c>
      <c r="H722" s="5" t="s">
        <v>1266</v>
      </c>
      <c r="I722" s="5" t="s">
        <v>206</v>
      </c>
      <c r="J722" s="5" t="s">
        <v>80</v>
      </c>
      <c r="K722" s="5" t="s">
        <v>400</v>
      </c>
      <c r="L722" s="6">
        <v>38944</v>
      </c>
    </row>
    <row r="723" spans="1:12" x14ac:dyDescent="0.25">
      <c r="A723" s="5">
        <v>722</v>
      </c>
      <c r="B723" s="5" t="s">
        <v>144</v>
      </c>
      <c r="C723" s="5" t="s">
        <v>75</v>
      </c>
      <c r="D723" s="5" t="s">
        <v>35</v>
      </c>
      <c r="E723" s="5" t="s">
        <v>1005</v>
      </c>
      <c r="F723" s="5" t="s">
        <v>1001</v>
      </c>
      <c r="G723" s="5">
        <v>8985346297</v>
      </c>
      <c r="H723" s="5" t="s">
        <v>1276</v>
      </c>
      <c r="I723" s="5" t="s">
        <v>206</v>
      </c>
      <c r="J723" s="5" t="s">
        <v>80</v>
      </c>
      <c r="K723" s="5" t="s">
        <v>994</v>
      </c>
      <c r="L723" s="6">
        <v>38881</v>
      </c>
    </row>
    <row r="724" spans="1:12" x14ac:dyDescent="0.25">
      <c r="A724" s="5">
        <v>723</v>
      </c>
      <c r="B724" s="5" t="s">
        <v>748</v>
      </c>
      <c r="C724" s="5" t="s">
        <v>75</v>
      </c>
      <c r="D724" s="5" t="s">
        <v>35</v>
      </c>
      <c r="E724" s="5" t="s">
        <v>969</v>
      </c>
      <c r="F724" s="5" t="s">
        <v>1082</v>
      </c>
      <c r="G724" s="5">
        <v>8325207053</v>
      </c>
      <c r="H724" s="5" t="s">
        <v>986</v>
      </c>
      <c r="I724" s="5" t="s">
        <v>206</v>
      </c>
      <c r="J724" s="5" t="s">
        <v>80</v>
      </c>
      <c r="K724" s="5" t="s">
        <v>972</v>
      </c>
      <c r="L724" s="6">
        <v>38839</v>
      </c>
    </row>
    <row r="725" spans="1:12" x14ac:dyDescent="0.25">
      <c r="A725" s="5">
        <v>724</v>
      </c>
      <c r="B725" s="5" t="s">
        <v>233</v>
      </c>
      <c r="C725" s="5" t="s">
        <v>83</v>
      </c>
      <c r="D725" s="5" t="s">
        <v>35</v>
      </c>
      <c r="E725" s="5" t="s">
        <v>76</v>
      </c>
      <c r="F725" s="5" t="s">
        <v>1071</v>
      </c>
      <c r="G725" s="5">
        <v>6548060487</v>
      </c>
      <c r="H725" s="5" t="s">
        <v>1277</v>
      </c>
      <c r="I725" s="5" t="s">
        <v>206</v>
      </c>
      <c r="J725" s="5" t="s">
        <v>80</v>
      </c>
      <c r="K725" s="5" t="s">
        <v>81</v>
      </c>
      <c r="L725" s="6">
        <v>38719</v>
      </c>
    </row>
    <row r="726" spans="1:12" x14ac:dyDescent="0.25">
      <c r="A726" s="5">
        <v>725</v>
      </c>
      <c r="B726" s="5" t="s">
        <v>155</v>
      </c>
      <c r="C726" s="5" t="s">
        <v>83</v>
      </c>
      <c r="D726" s="5" t="s">
        <v>35</v>
      </c>
      <c r="E726" s="5" t="s">
        <v>995</v>
      </c>
      <c r="F726" s="5" t="s">
        <v>1212</v>
      </c>
      <c r="G726" s="5">
        <v>8407095384</v>
      </c>
      <c r="H726" s="5" t="s">
        <v>1278</v>
      </c>
      <c r="I726" s="5" t="s">
        <v>206</v>
      </c>
      <c r="J726" s="5" t="s">
        <v>80</v>
      </c>
      <c r="K726" s="5" t="s">
        <v>998</v>
      </c>
      <c r="L726" s="6">
        <v>39005</v>
      </c>
    </row>
    <row r="727" spans="1:12" x14ac:dyDescent="0.25">
      <c r="A727" s="5">
        <v>726</v>
      </c>
      <c r="B727" s="5" t="s">
        <v>95</v>
      </c>
      <c r="C727" s="5" t="s">
        <v>83</v>
      </c>
      <c r="D727" s="5" t="s">
        <v>35</v>
      </c>
      <c r="E727" s="5" t="s">
        <v>403</v>
      </c>
      <c r="F727" s="5" t="s">
        <v>1244</v>
      </c>
      <c r="G727" s="5">
        <v>9586379994</v>
      </c>
      <c r="H727" s="5" t="s">
        <v>1109</v>
      </c>
      <c r="I727" s="5" t="s">
        <v>206</v>
      </c>
      <c r="J727" s="5" t="s">
        <v>129</v>
      </c>
      <c r="K727" s="5" t="s">
        <v>400</v>
      </c>
      <c r="L727" s="6">
        <v>38995</v>
      </c>
    </row>
    <row r="728" spans="1:12" x14ac:dyDescent="0.25">
      <c r="A728" s="5">
        <v>727</v>
      </c>
      <c r="B728" s="5" t="s">
        <v>74</v>
      </c>
      <c r="C728" s="5" t="s">
        <v>75</v>
      </c>
      <c r="D728" s="5" t="s">
        <v>35</v>
      </c>
      <c r="E728" s="5" t="s">
        <v>109</v>
      </c>
      <c r="F728" s="5" t="s">
        <v>1035</v>
      </c>
      <c r="G728" s="5">
        <v>9527839515</v>
      </c>
      <c r="H728" s="5" t="s">
        <v>1279</v>
      </c>
      <c r="I728" s="5" t="s">
        <v>206</v>
      </c>
      <c r="J728" s="5" t="s">
        <v>112</v>
      </c>
      <c r="K728" s="5" t="s">
        <v>81</v>
      </c>
      <c r="L728" s="6">
        <v>38947</v>
      </c>
    </row>
    <row r="729" spans="1:12" x14ac:dyDescent="0.25">
      <c r="A729" s="5">
        <v>728</v>
      </c>
      <c r="B729" s="5" t="s">
        <v>393</v>
      </c>
      <c r="C729" s="5" t="s">
        <v>75</v>
      </c>
      <c r="D729" s="5" t="s">
        <v>35</v>
      </c>
      <c r="E729" s="5" t="s">
        <v>87</v>
      </c>
      <c r="F729" s="5" t="s">
        <v>1053</v>
      </c>
      <c r="G729" s="5">
        <v>8256904807</v>
      </c>
      <c r="H729" s="5" t="s">
        <v>1280</v>
      </c>
      <c r="I729" s="5" t="s">
        <v>206</v>
      </c>
      <c r="J729" s="5" t="s">
        <v>80</v>
      </c>
      <c r="K729" s="5" t="s">
        <v>90</v>
      </c>
      <c r="L729" s="6">
        <v>38795</v>
      </c>
    </row>
    <row r="730" spans="1:12" x14ac:dyDescent="0.25">
      <c r="A730" s="5">
        <v>729</v>
      </c>
      <c r="B730" s="5" t="s">
        <v>259</v>
      </c>
      <c r="C730" s="5" t="s">
        <v>83</v>
      </c>
      <c r="D730" s="5" t="s">
        <v>35</v>
      </c>
      <c r="E730" s="5" t="s">
        <v>438</v>
      </c>
      <c r="F730" s="5" t="s">
        <v>980</v>
      </c>
      <c r="G730" s="5">
        <v>7713018459</v>
      </c>
      <c r="H730" s="5" t="s">
        <v>1281</v>
      </c>
      <c r="I730" s="5" t="s">
        <v>206</v>
      </c>
      <c r="J730" s="5" t="s">
        <v>80</v>
      </c>
      <c r="K730" s="5" t="s">
        <v>400</v>
      </c>
      <c r="L730" s="6">
        <v>38869</v>
      </c>
    </row>
    <row r="731" spans="1:12" x14ac:dyDescent="0.25">
      <c r="A731" s="5">
        <v>730</v>
      </c>
      <c r="B731" s="5" t="s">
        <v>550</v>
      </c>
      <c r="C731" s="5" t="s">
        <v>83</v>
      </c>
      <c r="D731" s="5" t="s">
        <v>35</v>
      </c>
      <c r="E731" s="5" t="s">
        <v>1034</v>
      </c>
      <c r="F731" s="5" t="s">
        <v>1076</v>
      </c>
      <c r="G731" s="5">
        <v>7313096915</v>
      </c>
      <c r="H731" s="5" t="s">
        <v>1282</v>
      </c>
      <c r="I731" s="5" t="s">
        <v>206</v>
      </c>
      <c r="J731" s="5" t="s">
        <v>80</v>
      </c>
      <c r="K731" s="5" t="s">
        <v>994</v>
      </c>
      <c r="L731" s="6">
        <v>38843</v>
      </c>
    </row>
    <row r="732" spans="1:12" x14ac:dyDescent="0.25">
      <c r="A732" s="5">
        <v>731</v>
      </c>
      <c r="B732" s="5" t="s">
        <v>1042</v>
      </c>
      <c r="C732" s="5" t="s">
        <v>83</v>
      </c>
      <c r="D732" s="5" t="s">
        <v>35</v>
      </c>
      <c r="E732" s="5" t="s">
        <v>397</v>
      </c>
      <c r="F732" s="5" t="s">
        <v>1043</v>
      </c>
      <c r="G732" s="5">
        <v>7559940187</v>
      </c>
      <c r="H732" s="5" t="s">
        <v>1283</v>
      </c>
      <c r="I732" s="5" t="s">
        <v>206</v>
      </c>
      <c r="J732" s="5" t="s">
        <v>80</v>
      </c>
      <c r="K732" s="5" t="s">
        <v>400</v>
      </c>
      <c r="L732" s="6">
        <v>38926</v>
      </c>
    </row>
    <row r="733" spans="1:12" x14ac:dyDescent="0.25">
      <c r="A733" s="5">
        <v>732</v>
      </c>
      <c r="B733" s="5" t="s">
        <v>575</v>
      </c>
      <c r="C733" s="5" t="s">
        <v>75</v>
      </c>
      <c r="D733" s="5" t="s">
        <v>35</v>
      </c>
      <c r="E733" s="5" t="s">
        <v>135</v>
      </c>
      <c r="F733" s="5" t="s">
        <v>1006</v>
      </c>
      <c r="G733" s="5">
        <v>6571431924</v>
      </c>
      <c r="H733" s="5" t="s">
        <v>1150</v>
      </c>
      <c r="I733" s="5" t="s">
        <v>206</v>
      </c>
      <c r="J733" s="5" t="s">
        <v>80</v>
      </c>
      <c r="K733" s="5" t="s">
        <v>81</v>
      </c>
      <c r="L733" s="6">
        <v>38790</v>
      </c>
    </row>
    <row r="734" spans="1:12" x14ac:dyDescent="0.25">
      <c r="A734" s="5">
        <v>733</v>
      </c>
      <c r="B734" s="5" t="s">
        <v>122</v>
      </c>
      <c r="C734" s="5" t="s">
        <v>83</v>
      </c>
      <c r="D734" s="5" t="s">
        <v>35</v>
      </c>
      <c r="E734" s="5" t="s">
        <v>991</v>
      </c>
      <c r="F734" s="5" t="s">
        <v>1021</v>
      </c>
      <c r="G734" s="5">
        <v>9688798273</v>
      </c>
      <c r="H734" s="5" t="s">
        <v>1284</v>
      </c>
      <c r="I734" s="5" t="s">
        <v>206</v>
      </c>
      <c r="J734" s="5" t="s">
        <v>80</v>
      </c>
      <c r="K734" s="5" t="s">
        <v>994</v>
      </c>
      <c r="L734" s="6">
        <v>38855</v>
      </c>
    </row>
    <row r="735" spans="1:12" x14ac:dyDescent="0.25">
      <c r="A735" s="5">
        <v>734</v>
      </c>
      <c r="B735" s="5" t="s">
        <v>236</v>
      </c>
      <c r="C735" s="5" t="s">
        <v>83</v>
      </c>
      <c r="D735" s="5" t="s">
        <v>35</v>
      </c>
      <c r="E735" s="5" t="s">
        <v>984</v>
      </c>
      <c r="F735" s="5" t="s">
        <v>1285</v>
      </c>
      <c r="G735" s="5">
        <v>9447706416</v>
      </c>
      <c r="H735" s="5" t="s">
        <v>1100</v>
      </c>
      <c r="I735" s="5" t="s">
        <v>206</v>
      </c>
      <c r="J735" s="5" t="s">
        <v>80</v>
      </c>
      <c r="K735" s="5" t="s">
        <v>972</v>
      </c>
      <c r="L735" s="6">
        <v>38766</v>
      </c>
    </row>
    <row r="736" spans="1:12" x14ac:dyDescent="0.25">
      <c r="A736" s="5">
        <v>735</v>
      </c>
      <c r="B736" s="5" t="s">
        <v>317</v>
      </c>
      <c r="C736" s="5" t="s">
        <v>83</v>
      </c>
      <c r="D736" s="5" t="s">
        <v>35</v>
      </c>
      <c r="E736" s="5" t="s">
        <v>135</v>
      </c>
      <c r="F736" s="5" t="s">
        <v>973</v>
      </c>
      <c r="G736" s="5">
        <v>7969284068</v>
      </c>
      <c r="H736" s="5" t="s">
        <v>1286</v>
      </c>
      <c r="I736" s="5" t="s">
        <v>206</v>
      </c>
      <c r="J736" s="5" t="s">
        <v>159</v>
      </c>
      <c r="K736" s="5" t="s">
        <v>81</v>
      </c>
      <c r="L736" s="6">
        <v>38909</v>
      </c>
    </row>
    <row r="737" spans="1:12" x14ac:dyDescent="0.25">
      <c r="A737" s="5">
        <v>736</v>
      </c>
      <c r="B737" s="5" t="s">
        <v>7</v>
      </c>
      <c r="C737" s="5" t="s">
        <v>75</v>
      </c>
      <c r="D737" s="5" t="s">
        <v>35</v>
      </c>
      <c r="E737" s="5" t="s">
        <v>117</v>
      </c>
      <c r="F737" s="5" t="s">
        <v>1287</v>
      </c>
      <c r="G737" s="5">
        <v>9042224060</v>
      </c>
      <c r="H737" s="5" t="s">
        <v>1207</v>
      </c>
      <c r="I737" s="5" t="s">
        <v>206</v>
      </c>
      <c r="J737" s="5" t="s">
        <v>129</v>
      </c>
      <c r="K737" s="5" t="s">
        <v>90</v>
      </c>
      <c r="L737" s="6">
        <v>38726</v>
      </c>
    </row>
    <row r="738" spans="1:12" x14ac:dyDescent="0.25">
      <c r="A738" s="5">
        <v>737</v>
      </c>
      <c r="B738" s="5" t="s">
        <v>762</v>
      </c>
      <c r="C738" s="5" t="s">
        <v>75</v>
      </c>
      <c r="D738" s="5" t="s">
        <v>35</v>
      </c>
      <c r="E738" s="5" t="s">
        <v>984</v>
      </c>
      <c r="F738" s="5" t="s">
        <v>1108</v>
      </c>
      <c r="G738" s="5">
        <v>7211162818</v>
      </c>
      <c r="H738" s="5" t="s">
        <v>1288</v>
      </c>
      <c r="I738" s="5" t="s">
        <v>206</v>
      </c>
      <c r="J738" s="5" t="s">
        <v>80</v>
      </c>
      <c r="K738" s="5" t="s">
        <v>972</v>
      </c>
      <c r="L738" s="6">
        <v>38858</v>
      </c>
    </row>
    <row r="739" spans="1:12" x14ac:dyDescent="0.25">
      <c r="A739" s="5">
        <v>738</v>
      </c>
      <c r="B739" s="5" t="s">
        <v>297</v>
      </c>
      <c r="C739" s="5" t="s">
        <v>83</v>
      </c>
      <c r="D739" s="5" t="s">
        <v>35</v>
      </c>
      <c r="E739" s="5" t="s">
        <v>991</v>
      </c>
      <c r="F739" s="5" t="s">
        <v>1214</v>
      </c>
      <c r="G739" s="5">
        <v>8346075104</v>
      </c>
      <c r="H739" s="5" t="s">
        <v>1289</v>
      </c>
      <c r="I739" s="5" t="s">
        <v>206</v>
      </c>
      <c r="J739" s="5" t="s">
        <v>80</v>
      </c>
      <c r="K739" s="5" t="s">
        <v>994</v>
      </c>
      <c r="L739" s="6">
        <v>38778</v>
      </c>
    </row>
    <row r="740" spans="1:12" x14ac:dyDescent="0.25">
      <c r="A740" s="5">
        <v>739</v>
      </c>
      <c r="B740" s="5" t="s">
        <v>116</v>
      </c>
      <c r="C740" s="5" t="s">
        <v>75</v>
      </c>
      <c r="D740" s="5" t="s">
        <v>35</v>
      </c>
      <c r="E740" s="5" t="s">
        <v>995</v>
      </c>
      <c r="F740" s="5" t="s">
        <v>1078</v>
      </c>
      <c r="G740" s="5">
        <v>9882592502</v>
      </c>
      <c r="H740" s="5" t="s">
        <v>1290</v>
      </c>
      <c r="I740" s="5" t="s">
        <v>206</v>
      </c>
      <c r="J740" s="5" t="s">
        <v>80</v>
      </c>
      <c r="K740" s="5" t="s">
        <v>998</v>
      </c>
      <c r="L740" s="6">
        <v>39029</v>
      </c>
    </row>
    <row r="741" spans="1:12" x14ac:dyDescent="0.25">
      <c r="A741" s="5">
        <v>740</v>
      </c>
      <c r="B741" s="5" t="s">
        <v>147</v>
      </c>
      <c r="C741" s="5" t="s">
        <v>83</v>
      </c>
      <c r="D741" s="5" t="s">
        <v>35</v>
      </c>
      <c r="E741" s="5" t="s">
        <v>995</v>
      </c>
      <c r="F741" s="5" t="s">
        <v>1080</v>
      </c>
      <c r="G741" s="5">
        <v>7698694042</v>
      </c>
      <c r="H741" s="5" t="s">
        <v>1291</v>
      </c>
      <c r="I741" s="5" t="s">
        <v>206</v>
      </c>
      <c r="J741" s="5" t="s">
        <v>80</v>
      </c>
      <c r="K741" s="5" t="s">
        <v>998</v>
      </c>
      <c r="L741" s="6">
        <v>38873</v>
      </c>
    </row>
    <row r="742" spans="1:12" x14ac:dyDescent="0.25">
      <c r="A742" s="5">
        <v>741</v>
      </c>
      <c r="B742" s="5" t="s">
        <v>661</v>
      </c>
      <c r="C742" s="5" t="s">
        <v>75</v>
      </c>
      <c r="D742" s="5" t="s">
        <v>35</v>
      </c>
      <c r="E742" s="5" t="s">
        <v>984</v>
      </c>
      <c r="F742" s="5" t="s">
        <v>999</v>
      </c>
      <c r="G742" s="5">
        <v>8426593293</v>
      </c>
      <c r="H742" s="5" t="s">
        <v>993</v>
      </c>
      <c r="I742" s="5" t="s">
        <v>206</v>
      </c>
      <c r="J742" s="5" t="s">
        <v>80</v>
      </c>
      <c r="K742" s="5" t="s">
        <v>972</v>
      </c>
      <c r="L742" s="6">
        <v>39078</v>
      </c>
    </row>
    <row r="743" spans="1:12" x14ac:dyDescent="0.25">
      <c r="A743" s="5">
        <v>742</v>
      </c>
      <c r="B743" s="5" t="s">
        <v>748</v>
      </c>
      <c r="C743" s="5" t="s">
        <v>83</v>
      </c>
      <c r="D743" s="5" t="s">
        <v>35</v>
      </c>
      <c r="E743" s="5" t="s">
        <v>1005</v>
      </c>
      <c r="F743" s="5" t="s">
        <v>1082</v>
      </c>
      <c r="G743" s="5">
        <v>9030777786</v>
      </c>
      <c r="H743" s="5" t="s">
        <v>1211</v>
      </c>
      <c r="I743" s="5" t="s">
        <v>206</v>
      </c>
      <c r="J743" s="5" t="s">
        <v>80</v>
      </c>
      <c r="K743" s="5" t="s">
        <v>994</v>
      </c>
      <c r="L743" s="6">
        <v>38891</v>
      </c>
    </row>
    <row r="744" spans="1:12" x14ac:dyDescent="0.25">
      <c r="A744" s="5">
        <v>743</v>
      </c>
      <c r="B744" s="5" t="s">
        <v>108</v>
      </c>
      <c r="C744" s="5" t="s">
        <v>75</v>
      </c>
      <c r="D744" s="5" t="s">
        <v>35</v>
      </c>
      <c r="E744" s="5" t="s">
        <v>984</v>
      </c>
      <c r="F744" s="5" t="s">
        <v>1168</v>
      </c>
      <c r="G744" s="5">
        <v>8879356786</v>
      </c>
      <c r="H744" s="5" t="s">
        <v>1199</v>
      </c>
      <c r="I744" s="5" t="s">
        <v>206</v>
      </c>
      <c r="J744" s="5" t="s">
        <v>80</v>
      </c>
      <c r="K744" s="5" t="s">
        <v>972</v>
      </c>
      <c r="L744" s="6">
        <v>38977</v>
      </c>
    </row>
    <row r="745" spans="1:12" x14ac:dyDescent="0.25">
      <c r="A745" s="5">
        <v>744</v>
      </c>
      <c r="B745" s="5" t="s">
        <v>641</v>
      </c>
      <c r="C745" s="5" t="s">
        <v>75</v>
      </c>
      <c r="D745" s="5" t="s">
        <v>35</v>
      </c>
      <c r="E745" s="5" t="s">
        <v>1005</v>
      </c>
      <c r="F745" s="5" t="s">
        <v>1258</v>
      </c>
      <c r="G745" s="5">
        <v>8037054584</v>
      </c>
      <c r="H745" s="5" t="s">
        <v>1211</v>
      </c>
      <c r="I745" s="5" t="s">
        <v>206</v>
      </c>
      <c r="J745" s="5" t="s">
        <v>80</v>
      </c>
      <c r="K745" s="5" t="s">
        <v>994</v>
      </c>
      <c r="L745" s="6">
        <v>39036</v>
      </c>
    </row>
    <row r="746" spans="1:12" x14ac:dyDescent="0.25">
      <c r="A746" s="5">
        <v>745</v>
      </c>
      <c r="B746" s="5" t="s">
        <v>6</v>
      </c>
      <c r="C746" s="5" t="s">
        <v>83</v>
      </c>
      <c r="D746" s="5" t="s">
        <v>35</v>
      </c>
      <c r="E746" s="5" t="s">
        <v>977</v>
      </c>
      <c r="F746" s="5" t="s">
        <v>970</v>
      </c>
      <c r="G746" s="5">
        <v>7112722171</v>
      </c>
      <c r="H746" s="5" t="s">
        <v>1292</v>
      </c>
      <c r="I746" s="5" t="s">
        <v>206</v>
      </c>
      <c r="J746" s="5" t="s">
        <v>129</v>
      </c>
      <c r="K746" s="5" t="s">
        <v>972</v>
      </c>
      <c r="L746" s="6">
        <v>39061</v>
      </c>
    </row>
    <row r="747" spans="1:12" x14ac:dyDescent="0.25">
      <c r="A747" s="5">
        <v>746</v>
      </c>
      <c r="B747" s="5" t="s">
        <v>537</v>
      </c>
      <c r="C747" s="5" t="s">
        <v>83</v>
      </c>
      <c r="D747" s="5" t="s">
        <v>35</v>
      </c>
      <c r="E747" s="5" t="s">
        <v>1016</v>
      </c>
      <c r="F747" s="5" t="s">
        <v>1181</v>
      </c>
      <c r="G747" s="5">
        <v>9961496636</v>
      </c>
      <c r="H747" s="5" t="s">
        <v>1293</v>
      </c>
      <c r="I747" s="5" t="s">
        <v>206</v>
      </c>
      <c r="J747" s="5" t="s">
        <v>80</v>
      </c>
      <c r="K747" s="5" t="s">
        <v>998</v>
      </c>
      <c r="L747" s="6">
        <v>38980</v>
      </c>
    </row>
    <row r="748" spans="1:12" x14ac:dyDescent="0.25">
      <c r="A748" s="5">
        <v>747</v>
      </c>
      <c r="B748" s="5" t="s">
        <v>134</v>
      </c>
      <c r="C748" s="5" t="s">
        <v>75</v>
      </c>
      <c r="D748" s="5" t="s">
        <v>35</v>
      </c>
      <c r="E748" s="5" t="s">
        <v>92</v>
      </c>
      <c r="F748" s="5" t="s">
        <v>1032</v>
      </c>
      <c r="G748" s="5">
        <v>7462775441</v>
      </c>
      <c r="H748" s="5" t="s">
        <v>1294</v>
      </c>
      <c r="I748" s="5" t="s">
        <v>206</v>
      </c>
      <c r="J748" s="5" t="s">
        <v>80</v>
      </c>
      <c r="K748" s="5" t="s">
        <v>81</v>
      </c>
      <c r="L748" s="6">
        <v>38992</v>
      </c>
    </row>
    <row r="749" spans="1:12" x14ac:dyDescent="0.25">
      <c r="A749" s="5">
        <v>748</v>
      </c>
      <c r="B749" s="5" t="s">
        <v>494</v>
      </c>
      <c r="C749" s="5" t="s">
        <v>83</v>
      </c>
      <c r="D749" s="5" t="s">
        <v>35</v>
      </c>
      <c r="E749" s="5" t="s">
        <v>184</v>
      </c>
      <c r="F749" s="5" t="s">
        <v>1173</v>
      </c>
      <c r="G749" s="5">
        <v>8423273221</v>
      </c>
      <c r="H749" s="5" t="s">
        <v>1295</v>
      </c>
      <c r="I749" s="5" t="s">
        <v>206</v>
      </c>
      <c r="J749" s="5" t="s">
        <v>80</v>
      </c>
      <c r="K749" s="5" t="s">
        <v>90</v>
      </c>
      <c r="L749" s="6">
        <v>38796</v>
      </c>
    </row>
    <row r="750" spans="1:12" x14ac:dyDescent="0.25">
      <c r="A750" s="5">
        <v>749</v>
      </c>
      <c r="B750" s="5" t="s">
        <v>661</v>
      </c>
      <c r="C750" s="5" t="s">
        <v>75</v>
      </c>
      <c r="D750" s="5" t="s">
        <v>35</v>
      </c>
      <c r="E750" s="5" t="s">
        <v>977</v>
      </c>
      <c r="F750" s="5" t="s">
        <v>999</v>
      </c>
      <c r="G750" s="5">
        <v>7120583224</v>
      </c>
      <c r="H750" s="5" t="s">
        <v>1114</v>
      </c>
      <c r="I750" s="5" t="s">
        <v>206</v>
      </c>
      <c r="J750" s="5" t="s">
        <v>80</v>
      </c>
      <c r="K750" s="5" t="s">
        <v>972</v>
      </c>
      <c r="L750" s="6">
        <v>39078</v>
      </c>
    </row>
    <row r="751" spans="1:12" x14ac:dyDescent="0.25">
      <c r="A751" s="5">
        <v>750</v>
      </c>
      <c r="B751" s="5" t="s">
        <v>195</v>
      </c>
      <c r="C751" s="5" t="s">
        <v>83</v>
      </c>
      <c r="D751" s="5" t="s">
        <v>35</v>
      </c>
      <c r="E751" s="5" t="s">
        <v>117</v>
      </c>
      <c r="F751" s="5" t="s">
        <v>1069</v>
      </c>
      <c r="G751" s="5">
        <v>6785153787</v>
      </c>
      <c r="H751" s="5" t="s">
        <v>1296</v>
      </c>
      <c r="I751" s="5" t="s">
        <v>206</v>
      </c>
      <c r="J751" s="5" t="s">
        <v>80</v>
      </c>
      <c r="K751" s="5" t="s">
        <v>90</v>
      </c>
      <c r="L751" s="6">
        <v>38772</v>
      </c>
    </row>
    <row r="752" spans="1:12" x14ac:dyDescent="0.25">
      <c r="A752" s="5">
        <v>751</v>
      </c>
      <c r="B752" s="5" t="s">
        <v>82</v>
      </c>
      <c r="C752" s="5" t="s">
        <v>75</v>
      </c>
      <c r="D752" s="5" t="s">
        <v>35</v>
      </c>
      <c r="E752" s="5" t="s">
        <v>991</v>
      </c>
      <c r="F752" s="5" t="s">
        <v>1063</v>
      </c>
      <c r="G752" s="5">
        <v>8685599242</v>
      </c>
      <c r="H752" s="5" t="s">
        <v>1297</v>
      </c>
      <c r="I752" s="5" t="s">
        <v>206</v>
      </c>
      <c r="J752" s="5" t="s">
        <v>80</v>
      </c>
      <c r="K752" s="5" t="s">
        <v>994</v>
      </c>
      <c r="L752" s="6">
        <v>38742</v>
      </c>
    </row>
    <row r="753" spans="1:12" x14ac:dyDescent="0.25">
      <c r="A753" s="5">
        <v>752</v>
      </c>
      <c r="B753" s="5" t="s">
        <v>417</v>
      </c>
      <c r="C753" s="5" t="s">
        <v>83</v>
      </c>
      <c r="D753" s="5" t="s">
        <v>35</v>
      </c>
      <c r="E753" s="5" t="s">
        <v>92</v>
      </c>
      <c r="F753" s="5" t="s">
        <v>1014</v>
      </c>
      <c r="G753" s="5">
        <v>9118707525</v>
      </c>
      <c r="H753" s="5" t="s">
        <v>1298</v>
      </c>
      <c r="I753" s="5" t="s">
        <v>206</v>
      </c>
      <c r="J753" s="5" t="s">
        <v>80</v>
      </c>
      <c r="K753" s="5" t="s">
        <v>81</v>
      </c>
      <c r="L753" s="6">
        <v>38907</v>
      </c>
    </row>
    <row r="754" spans="1:12" x14ac:dyDescent="0.25">
      <c r="A754" s="5">
        <v>753</v>
      </c>
      <c r="B754" s="5" t="s">
        <v>417</v>
      </c>
      <c r="C754" s="5" t="s">
        <v>83</v>
      </c>
      <c r="D754" s="5" t="s">
        <v>35</v>
      </c>
      <c r="E754" s="5" t="s">
        <v>969</v>
      </c>
      <c r="F754" s="5" t="s">
        <v>1014</v>
      </c>
      <c r="G754" s="5">
        <v>7872034901</v>
      </c>
      <c r="H754" s="5" t="s">
        <v>1206</v>
      </c>
      <c r="I754" s="5" t="s">
        <v>206</v>
      </c>
      <c r="J754" s="5" t="s">
        <v>80</v>
      </c>
      <c r="K754" s="5" t="s">
        <v>972</v>
      </c>
      <c r="L754" s="6">
        <v>38735</v>
      </c>
    </row>
    <row r="755" spans="1:12" x14ac:dyDescent="0.25">
      <c r="A755" s="5">
        <v>754</v>
      </c>
      <c r="B755" s="5" t="s">
        <v>138</v>
      </c>
      <c r="C755" s="5" t="s">
        <v>83</v>
      </c>
      <c r="D755" s="5" t="s">
        <v>35</v>
      </c>
      <c r="E755" s="5" t="s">
        <v>135</v>
      </c>
      <c r="F755" s="5" t="s">
        <v>1017</v>
      </c>
      <c r="G755" s="5">
        <v>9986713219</v>
      </c>
      <c r="H755" s="5" t="s">
        <v>1299</v>
      </c>
      <c r="I755" s="5" t="s">
        <v>206</v>
      </c>
      <c r="J755" s="5" t="s">
        <v>80</v>
      </c>
      <c r="K755" s="5" t="s">
        <v>81</v>
      </c>
      <c r="L755" s="6">
        <v>38982</v>
      </c>
    </row>
    <row r="756" spans="1:12" x14ac:dyDescent="0.25">
      <c r="A756" s="5">
        <v>755</v>
      </c>
      <c r="B756" s="5" t="s">
        <v>203</v>
      </c>
      <c r="C756" s="5" t="s">
        <v>83</v>
      </c>
      <c r="D756" s="5" t="s">
        <v>35</v>
      </c>
      <c r="E756" s="5" t="s">
        <v>969</v>
      </c>
      <c r="F756" s="5" t="s">
        <v>1051</v>
      </c>
      <c r="G756" s="5">
        <v>9401010818</v>
      </c>
      <c r="H756" s="5" t="s">
        <v>1300</v>
      </c>
      <c r="I756" s="5" t="s">
        <v>206</v>
      </c>
      <c r="J756" s="5" t="s">
        <v>80</v>
      </c>
      <c r="K756" s="5" t="s">
        <v>972</v>
      </c>
      <c r="L756" s="6">
        <v>38891</v>
      </c>
    </row>
    <row r="757" spans="1:12" x14ac:dyDescent="0.25">
      <c r="A757" s="5">
        <v>756</v>
      </c>
      <c r="B757" s="5" t="s">
        <v>723</v>
      </c>
      <c r="C757" s="5" t="s">
        <v>83</v>
      </c>
      <c r="D757" s="5" t="s">
        <v>35</v>
      </c>
      <c r="E757" s="5" t="s">
        <v>87</v>
      </c>
      <c r="F757" s="5" t="s">
        <v>1177</v>
      </c>
      <c r="G757" s="5">
        <v>6896822472</v>
      </c>
      <c r="H757" s="5" t="s">
        <v>1301</v>
      </c>
      <c r="I757" s="5" t="s">
        <v>206</v>
      </c>
      <c r="J757" s="5" t="s">
        <v>80</v>
      </c>
      <c r="K757" s="5" t="s">
        <v>90</v>
      </c>
      <c r="L757" s="6">
        <v>38856</v>
      </c>
    </row>
    <row r="758" spans="1:12" x14ac:dyDescent="0.25">
      <c r="A758" s="5">
        <v>757</v>
      </c>
      <c r="B758" s="5" t="s">
        <v>101</v>
      </c>
      <c r="C758" s="5" t="s">
        <v>83</v>
      </c>
      <c r="D758" s="5" t="s">
        <v>35</v>
      </c>
      <c r="E758" s="5" t="s">
        <v>1034</v>
      </c>
      <c r="F758" s="5" t="s">
        <v>1163</v>
      </c>
      <c r="G758" s="5">
        <v>9853905711</v>
      </c>
      <c r="H758" s="5" t="s">
        <v>1153</v>
      </c>
      <c r="I758" s="5" t="s">
        <v>206</v>
      </c>
      <c r="J758" s="5" t="s">
        <v>80</v>
      </c>
      <c r="K758" s="5" t="s">
        <v>994</v>
      </c>
      <c r="L758" s="6">
        <v>38860</v>
      </c>
    </row>
    <row r="759" spans="1:12" x14ac:dyDescent="0.25">
      <c r="A759" s="5">
        <v>758</v>
      </c>
      <c r="B759" s="5" t="s">
        <v>505</v>
      </c>
      <c r="C759" s="5" t="s">
        <v>83</v>
      </c>
      <c r="D759" s="5" t="s">
        <v>35</v>
      </c>
      <c r="E759" s="5" t="s">
        <v>969</v>
      </c>
      <c r="F759" s="5" t="s">
        <v>1175</v>
      </c>
      <c r="G759" s="5">
        <v>7717592422</v>
      </c>
      <c r="H759" s="5" t="s">
        <v>1302</v>
      </c>
      <c r="I759" s="5" t="s">
        <v>206</v>
      </c>
      <c r="J759" s="5" t="s">
        <v>80</v>
      </c>
      <c r="K759" s="5" t="s">
        <v>972</v>
      </c>
      <c r="L759" s="6">
        <v>38766</v>
      </c>
    </row>
    <row r="760" spans="1:12" x14ac:dyDescent="0.25">
      <c r="A760" s="5">
        <v>759</v>
      </c>
      <c r="B760" s="5" t="s">
        <v>575</v>
      </c>
      <c r="C760" s="5" t="s">
        <v>83</v>
      </c>
      <c r="D760" s="5" t="s">
        <v>35</v>
      </c>
      <c r="E760" s="5" t="s">
        <v>984</v>
      </c>
      <c r="F760" s="5" t="s">
        <v>1006</v>
      </c>
      <c r="G760" s="5">
        <v>9076698853</v>
      </c>
      <c r="H760" s="5" t="s">
        <v>1170</v>
      </c>
      <c r="I760" s="5" t="s">
        <v>206</v>
      </c>
      <c r="J760" s="5" t="s">
        <v>112</v>
      </c>
      <c r="K760" s="5" t="s">
        <v>972</v>
      </c>
      <c r="L760" s="6">
        <v>38864</v>
      </c>
    </row>
    <row r="761" spans="1:12" x14ac:dyDescent="0.25">
      <c r="A761" s="5">
        <v>760</v>
      </c>
      <c r="B761" s="5" t="s">
        <v>183</v>
      </c>
      <c r="C761" s="5" t="s">
        <v>75</v>
      </c>
      <c r="D761" s="5" t="s">
        <v>35</v>
      </c>
      <c r="E761" s="5" t="s">
        <v>1008</v>
      </c>
      <c r="F761" s="5" t="s">
        <v>1166</v>
      </c>
      <c r="G761" s="5">
        <v>7381976297</v>
      </c>
      <c r="H761" s="5" t="s">
        <v>1052</v>
      </c>
      <c r="I761" s="5" t="s">
        <v>206</v>
      </c>
      <c r="J761" s="5" t="s">
        <v>80</v>
      </c>
      <c r="K761" s="5" t="s">
        <v>998</v>
      </c>
      <c r="L761" s="6">
        <v>38782</v>
      </c>
    </row>
    <row r="762" spans="1:12" x14ac:dyDescent="0.25">
      <c r="A762" s="5">
        <v>761</v>
      </c>
      <c r="B762" s="5" t="s">
        <v>208</v>
      </c>
      <c r="C762" s="5" t="s">
        <v>75</v>
      </c>
      <c r="D762" s="5" t="s">
        <v>35</v>
      </c>
      <c r="E762" s="5" t="s">
        <v>984</v>
      </c>
      <c r="F762" s="5" t="s">
        <v>1019</v>
      </c>
      <c r="G762" s="5">
        <v>7944644733</v>
      </c>
      <c r="H762" s="5" t="s">
        <v>1303</v>
      </c>
      <c r="I762" s="5" t="s">
        <v>206</v>
      </c>
      <c r="J762" s="5" t="s">
        <v>129</v>
      </c>
      <c r="K762" s="5" t="s">
        <v>972</v>
      </c>
      <c r="L762" s="6">
        <v>38956</v>
      </c>
    </row>
    <row r="763" spans="1:12" x14ac:dyDescent="0.25">
      <c r="A763" s="5">
        <v>762</v>
      </c>
      <c r="B763" s="5" t="s">
        <v>180</v>
      </c>
      <c r="C763" s="5" t="s">
        <v>83</v>
      </c>
      <c r="D763" s="5" t="s">
        <v>35</v>
      </c>
      <c r="E763" s="5" t="s">
        <v>1008</v>
      </c>
      <c r="F763" s="5" t="s">
        <v>1146</v>
      </c>
      <c r="G763" s="5">
        <v>7472180864</v>
      </c>
      <c r="H763" s="5" t="s">
        <v>1088</v>
      </c>
      <c r="I763" s="5" t="s">
        <v>206</v>
      </c>
      <c r="J763" s="5" t="s">
        <v>80</v>
      </c>
      <c r="K763" s="5" t="s">
        <v>998</v>
      </c>
      <c r="L763" s="6">
        <v>38763</v>
      </c>
    </row>
    <row r="764" spans="1:12" x14ac:dyDescent="0.25">
      <c r="A764" s="5">
        <v>763</v>
      </c>
      <c r="B764" s="5" t="s">
        <v>762</v>
      </c>
      <c r="C764" s="5" t="s">
        <v>75</v>
      </c>
      <c r="D764" s="5" t="s">
        <v>35</v>
      </c>
      <c r="E764" s="5" t="s">
        <v>1034</v>
      </c>
      <c r="F764" s="5" t="s">
        <v>1108</v>
      </c>
      <c r="G764" s="5">
        <v>8068038144</v>
      </c>
      <c r="H764" s="5" t="s">
        <v>1304</v>
      </c>
      <c r="I764" s="5" t="s">
        <v>206</v>
      </c>
      <c r="J764" s="5" t="s">
        <v>80</v>
      </c>
      <c r="K764" s="5" t="s">
        <v>994</v>
      </c>
      <c r="L764" s="6">
        <v>38971</v>
      </c>
    </row>
    <row r="765" spans="1:12" x14ac:dyDescent="0.25">
      <c r="A765" s="5">
        <v>764</v>
      </c>
      <c r="B765" s="5" t="s">
        <v>303</v>
      </c>
      <c r="C765" s="5" t="s">
        <v>75</v>
      </c>
      <c r="D765" s="5" t="s">
        <v>35</v>
      </c>
      <c r="E765" s="5" t="s">
        <v>991</v>
      </c>
      <c r="F765" s="5" t="s">
        <v>1203</v>
      </c>
      <c r="G765" s="5">
        <v>8108576216</v>
      </c>
      <c r="H765" s="5" t="s">
        <v>1305</v>
      </c>
      <c r="I765" s="5" t="s">
        <v>206</v>
      </c>
      <c r="J765" s="5" t="s">
        <v>80</v>
      </c>
      <c r="K765" s="5" t="s">
        <v>994</v>
      </c>
      <c r="L765" s="6">
        <v>39063</v>
      </c>
    </row>
    <row r="766" spans="1:12" x14ac:dyDescent="0.25">
      <c r="A766" s="5">
        <v>765</v>
      </c>
      <c r="B766" s="5" t="s">
        <v>144</v>
      </c>
      <c r="C766" s="5" t="s">
        <v>75</v>
      </c>
      <c r="D766" s="5" t="s">
        <v>35</v>
      </c>
      <c r="E766" s="5" t="s">
        <v>1005</v>
      </c>
      <c r="F766" s="5" t="s">
        <v>1001</v>
      </c>
      <c r="G766" s="5">
        <v>9513664365</v>
      </c>
      <c r="H766" s="5" t="s">
        <v>1306</v>
      </c>
      <c r="I766" s="5" t="s">
        <v>206</v>
      </c>
      <c r="J766" s="5" t="s">
        <v>129</v>
      </c>
      <c r="K766" s="5" t="s">
        <v>994</v>
      </c>
      <c r="L766" s="6">
        <v>38771</v>
      </c>
    </row>
    <row r="767" spans="1:12" x14ac:dyDescent="0.25">
      <c r="A767" s="5">
        <v>766</v>
      </c>
      <c r="B767" s="5" t="s">
        <v>138</v>
      </c>
      <c r="C767" s="5" t="s">
        <v>83</v>
      </c>
      <c r="D767" s="5" t="s">
        <v>35</v>
      </c>
      <c r="E767" s="5" t="s">
        <v>397</v>
      </c>
      <c r="F767" s="5" t="s">
        <v>1017</v>
      </c>
      <c r="G767" s="5">
        <v>7075837791</v>
      </c>
      <c r="H767" s="5" t="s">
        <v>1307</v>
      </c>
      <c r="I767" s="5" t="s">
        <v>206</v>
      </c>
      <c r="J767" s="5" t="s">
        <v>112</v>
      </c>
      <c r="K767" s="5" t="s">
        <v>400</v>
      </c>
      <c r="L767" s="6">
        <v>39075</v>
      </c>
    </row>
    <row r="768" spans="1:12" x14ac:dyDescent="0.25">
      <c r="A768" s="5">
        <v>767</v>
      </c>
      <c r="B768" s="5" t="s">
        <v>303</v>
      </c>
      <c r="C768" s="5" t="s">
        <v>83</v>
      </c>
      <c r="D768" s="5" t="s">
        <v>35</v>
      </c>
      <c r="E768" s="5" t="s">
        <v>995</v>
      </c>
      <c r="F768" s="5" t="s">
        <v>1203</v>
      </c>
      <c r="G768" s="5">
        <v>9964883661</v>
      </c>
      <c r="H768" s="5" t="s">
        <v>1308</v>
      </c>
      <c r="I768" s="5" t="s">
        <v>206</v>
      </c>
      <c r="J768" s="5" t="s">
        <v>129</v>
      </c>
      <c r="K768" s="5" t="s">
        <v>998</v>
      </c>
      <c r="L768" s="6">
        <v>38845</v>
      </c>
    </row>
    <row r="769" spans="1:12" x14ac:dyDescent="0.25">
      <c r="A769" s="5">
        <v>768</v>
      </c>
      <c r="B769" s="5" t="s">
        <v>236</v>
      </c>
      <c r="C769" s="5" t="s">
        <v>75</v>
      </c>
      <c r="D769" s="5" t="s">
        <v>35</v>
      </c>
      <c r="E769" s="5" t="s">
        <v>969</v>
      </c>
      <c r="F769" s="5" t="s">
        <v>1285</v>
      </c>
      <c r="G769" s="5">
        <v>7081986028</v>
      </c>
      <c r="H769" s="5" t="s">
        <v>1309</v>
      </c>
      <c r="I769" s="5" t="s">
        <v>206</v>
      </c>
      <c r="J769" s="5" t="s">
        <v>80</v>
      </c>
      <c r="K769" s="5" t="s">
        <v>972</v>
      </c>
      <c r="L769" s="6">
        <v>38768</v>
      </c>
    </row>
    <row r="770" spans="1:12" x14ac:dyDescent="0.25">
      <c r="A770" s="5">
        <v>769</v>
      </c>
      <c r="B770" s="5" t="s">
        <v>7</v>
      </c>
      <c r="C770" s="5" t="s">
        <v>83</v>
      </c>
      <c r="D770" s="5" t="s">
        <v>35</v>
      </c>
      <c r="E770" s="5" t="s">
        <v>984</v>
      </c>
      <c r="F770" s="5" t="s">
        <v>1287</v>
      </c>
      <c r="G770" s="5">
        <v>9935946857</v>
      </c>
      <c r="H770" s="5" t="s">
        <v>1310</v>
      </c>
      <c r="I770" s="5" t="s">
        <v>206</v>
      </c>
      <c r="J770" s="5" t="s">
        <v>80</v>
      </c>
      <c r="K770" s="5" t="s">
        <v>972</v>
      </c>
      <c r="L770" s="6">
        <v>38749</v>
      </c>
    </row>
    <row r="771" spans="1:12" x14ac:dyDescent="0.25">
      <c r="A771" s="5">
        <v>770</v>
      </c>
      <c r="B771" s="5" t="s">
        <v>887</v>
      </c>
      <c r="C771" s="5" t="s">
        <v>83</v>
      </c>
      <c r="D771" s="5" t="s">
        <v>35</v>
      </c>
      <c r="E771" s="5" t="s">
        <v>1016</v>
      </c>
      <c r="F771" s="5" t="s">
        <v>1127</v>
      </c>
      <c r="G771" s="5">
        <v>7903858590</v>
      </c>
      <c r="H771" s="5" t="s">
        <v>1297</v>
      </c>
      <c r="I771" s="5" t="s">
        <v>206</v>
      </c>
      <c r="J771" s="5" t="s">
        <v>80</v>
      </c>
      <c r="K771" s="5" t="s">
        <v>998</v>
      </c>
      <c r="L771" s="6">
        <v>39012</v>
      </c>
    </row>
    <row r="772" spans="1:12" x14ac:dyDescent="0.25">
      <c r="A772" s="5">
        <v>771</v>
      </c>
      <c r="B772" s="5" t="s">
        <v>368</v>
      </c>
      <c r="C772" s="5" t="s">
        <v>75</v>
      </c>
      <c r="D772" s="5" t="s">
        <v>35</v>
      </c>
      <c r="E772" s="5" t="s">
        <v>87</v>
      </c>
      <c r="F772" s="5" t="s">
        <v>985</v>
      </c>
      <c r="G772" s="5">
        <v>6037681806</v>
      </c>
      <c r="H772" s="5" t="s">
        <v>1311</v>
      </c>
      <c r="I772" s="5" t="s">
        <v>206</v>
      </c>
      <c r="J772" s="5" t="s">
        <v>80</v>
      </c>
      <c r="K772" s="5" t="s">
        <v>90</v>
      </c>
      <c r="L772" s="6">
        <v>38970</v>
      </c>
    </row>
    <row r="773" spans="1:12" x14ac:dyDescent="0.25">
      <c r="A773" s="5">
        <v>772</v>
      </c>
      <c r="B773" s="5" t="s">
        <v>144</v>
      </c>
      <c r="C773" s="5" t="s">
        <v>83</v>
      </c>
      <c r="D773" s="5" t="s">
        <v>35</v>
      </c>
      <c r="E773" s="5" t="s">
        <v>126</v>
      </c>
      <c r="F773" s="5" t="s">
        <v>1001</v>
      </c>
      <c r="G773" s="5">
        <v>6741652719</v>
      </c>
      <c r="H773" s="5" t="s">
        <v>1312</v>
      </c>
      <c r="I773" s="5" t="s">
        <v>247</v>
      </c>
      <c r="J773" s="5" t="s">
        <v>80</v>
      </c>
      <c r="K773" s="5" t="s">
        <v>90</v>
      </c>
      <c r="L773" s="6">
        <v>39381</v>
      </c>
    </row>
    <row r="774" spans="1:12" x14ac:dyDescent="0.25">
      <c r="A774" s="5">
        <v>773</v>
      </c>
      <c r="B774" s="5" t="s">
        <v>514</v>
      </c>
      <c r="C774" s="5" t="s">
        <v>83</v>
      </c>
      <c r="D774" s="5" t="s">
        <v>35</v>
      </c>
      <c r="E774" s="5" t="s">
        <v>1011</v>
      </c>
      <c r="F774" s="5" t="s">
        <v>975</v>
      </c>
      <c r="G774" s="5">
        <v>7546936288</v>
      </c>
      <c r="H774" s="5" t="s">
        <v>1149</v>
      </c>
      <c r="I774" s="5" t="s">
        <v>247</v>
      </c>
      <c r="J774" s="5" t="s">
        <v>80</v>
      </c>
      <c r="K774" s="5" t="s">
        <v>994</v>
      </c>
      <c r="L774" s="6">
        <v>39398</v>
      </c>
    </row>
    <row r="775" spans="1:12" x14ac:dyDescent="0.25">
      <c r="A775" s="5">
        <v>774</v>
      </c>
      <c r="B775" s="5" t="s">
        <v>8</v>
      </c>
      <c r="C775" s="5" t="s">
        <v>75</v>
      </c>
      <c r="D775" s="5" t="s">
        <v>35</v>
      </c>
      <c r="E775" s="5" t="s">
        <v>1034</v>
      </c>
      <c r="F775" s="5" t="s">
        <v>1313</v>
      </c>
      <c r="G775" s="5">
        <v>9911337926</v>
      </c>
      <c r="H775" s="5" t="s">
        <v>1054</v>
      </c>
      <c r="I775" s="5" t="s">
        <v>247</v>
      </c>
      <c r="J775" s="5" t="s">
        <v>159</v>
      </c>
      <c r="K775" s="5" t="s">
        <v>994</v>
      </c>
      <c r="L775" s="6">
        <v>39303</v>
      </c>
    </row>
    <row r="776" spans="1:12" x14ac:dyDescent="0.25">
      <c r="A776" s="5">
        <v>775</v>
      </c>
      <c r="B776" s="5" t="s">
        <v>236</v>
      </c>
      <c r="C776" s="5" t="s">
        <v>83</v>
      </c>
      <c r="D776" s="5" t="s">
        <v>35</v>
      </c>
      <c r="E776" s="5" t="s">
        <v>977</v>
      </c>
      <c r="F776" s="5" t="s">
        <v>1285</v>
      </c>
      <c r="G776" s="5">
        <v>7461044850</v>
      </c>
      <c r="H776" s="5" t="s">
        <v>1022</v>
      </c>
      <c r="I776" s="5" t="s">
        <v>247</v>
      </c>
      <c r="J776" s="5" t="s">
        <v>80</v>
      </c>
      <c r="K776" s="5" t="s">
        <v>972</v>
      </c>
      <c r="L776" s="6">
        <v>39216</v>
      </c>
    </row>
    <row r="777" spans="1:12" x14ac:dyDescent="0.25">
      <c r="A777" s="5">
        <v>776</v>
      </c>
      <c r="B777" s="5" t="s">
        <v>171</v>
      </c>
      <c r="C777" s="5" t="s">
        <v>83</v>
      </c>
      <c r="D777" s="5" t="s">
        <v>35</v>
      </c>
      <c r="E777" s="5" t="s">
        <v>1005</v>
      </c>
      <c r="F777" s="5" t="s">
        <v>1092</v>
      </c>
      <c r="G777" s="5">
        <v>8809397429</v>
      </c>
      <c r="H777" s="5" t="s">
        <v>1169</v>
      </c>
      <c r="I777" s="5" t="s">
        <v>247</v>
      </c>
      <c r="J777" s="5" t="s">
        <v>80</v>
      </c>
      <c r="K777" s="5" t="s">
        <v>994</v>
      </c>
      <c r="L777" s="6">
        <v>39332</v>
      </c>
    </row>
    <row r="778" spans="1:12" x14ac:dyDescent="0.25">
      <c r="A778" s="5">
        <v>777</v>
      </c>
      <c r="B778" s="5" t="s">
        <v>86</v>
      </c>
      <c r="C778" s="5" t="s">
        <v>75</v>
      </c>
      <c r="D778" s="5" t="s">
        <v>35</v>
      </c>
      <c r="E778" s="5" t="s">
        <v>1005</v>
      </c>
      <c r="F778" s="5" t="s">
        <v>1103</v>
      </c>
      <c r="G778" s="5">
        <v>6027756607</v>
      </c>
      <c r="H778" s="5" t="s">
        <v>1314</v>
      </c>
      <c r="I778" s="5" t="s">
        <v>247</v>
      </c>
      <c r="J778" s="5" t="s">
        <v>80</v>
      </c>
      <c r="K778" s="5" t="s">
        <v>994</v>
      </c>
      <c r="L778" s="6">
        <v>39200</v>
      </c>
    </row>
    <row r="779" spans="1:12" x14ac:dyDescent="0.25">
      <c r="A779" s="5">
        <v>778</v>
      </c>
      <c r="B779" s="5" t="s">
        <v>177</v>
      </c>
      <c r="C779" s="5" t="s">
        <v>75</v>
      </c>
      <c r="D779" s="5" t="s">
        <v>35</v>
      </c>
      <c r="E779" s="5" t="s">
        <v>977</v>
      </c>
      <c r="F779" s="5" t="s">
        <v>1098</v>
      </c>
      <c r="G779" s="5">
        <v>7700204716</v>
      </c>
      <c r="H779" s="5" t="s">
        <v>1315</v>
      </c>
      <c r="I779" s="5" t="s">
        <v>247</v>
      </c>
      <c r="J779" s="5" t="s">
        <v>129</v>
      </c>
      <c r="K779" s="5" t="s">
        <v>972</v>
      </c>
      <c r="L779" s="6">
        <v>39278</v>
      </c>
    </row>
    <row r="780" spans="1:12" x14ac:dyDescent="0.25">
      <c r="A780" s="5">
        <v>779</v>
      </c>
      <c r="B780" s="5" t="s">
        <v>491</v>
      </c>
      <c r="C780" s="5" t="s">
        <v>75</v>
      </c>
      <c r="D780" s="5" t="s">
        <v>35</v>
      </c>
      <c r="E780" s="5" t="s">
        <v>1005</v>
      </c>
      <c r="F780" s="5" t="s">
        <v>1003</v>
      </c>
      <c r="G780" s="5">
        <v>9336716038</v>
      </c>
      <c r="H780" s="5" t="s">
        <v>1119</v>
      </c>
      <c r="I780" s="5" t="s">
        <v>247</v>
      </c>
      <c r="J780" s="5" t="s">
        <v>80</v>
      </c>
      <c r="K780" s="5" t="s">
        <v>994</v>
      </c>
      <c r="L780" s="6">
        <v>39230</v>
      </c>
    </row>
    <row r="781" spans="1:12" x14ac:dyDescent="0.25">
      <c r="A781" s="5">
        <v>780</v>
      </c>
      <c r="B781" s="5" t="s">
        <v>108</v>
      </c>
      <c r="C781" s="5" t="s">
        <v>83</v>
      </c>
      <c r="D781" s="5" t="s">
        <v>35</v>
      </c>
      <c r="E781" s="5" t="s">
        <v>1034</v>
      </c>
      <c r="F781" s="5" t="s">
        <v>1168</v>
      </c>
      <c r="G781" s="5">
        <v>6779935857</v>
      </c>
      <c r="H781" s="5" t="s">
        <v>1316</v>
      </c>
      <c r="I781" s="5" t="s">
        <v>247</v>
      </c>
      <c r="J781" s="5" t="s">
        <v>129</v>
      </c>
      <c r="K781" s="5" t="s">
        <v>994</v>
      </c>
      <c r="L781" s="6">
        <v>39099</v>
      </c>
    </row>
    <row r="782" spans="1:12" x14ac:dyDescent="0.25">
      <c r="A782" s="5">
        <v>781</v>
      </c>
      <c r="B782" s="5" t="s">
        <v>138</v>
      </c>
      <c r="C782" s="5" t="s">
        <v>83</v>
      </c>
      <c r="D782" s="5" t="s">
        <v>35</v>
      </c>
      <c r="E782" s="5" t="s">
        <v>1008</v>
      </c>
      <c r="F782" s="5" t="s">
        <v>1017</v>
      </c>
      <c r="G782" s="5">
        <v>8271569523</v>
      </c>
      <c r="H782" s="5" t="s">
        <v>1317</v>
      </c>
      <c r="I782" s="5" t="s">
        <v>247</v>
      </c>
      <c r="J782" s="5" t="s">
        <v>159</v>
      </c>
      <c r="K782" s="5" t="s">
        <v>998</v>
      </c>
      <c r="L782" s="6">
        <v>39347</v>
      </c>
    </row>
    <row r="783" spans="1:12" x14ac:dyDescent="0.25">
      <c r="A783" s="5">
        <v>782</v>
      </c>
      <c r="B783" s="5" t="s">
        <v>544</v>
      </c>
      <c r="C783" s="5" t="s">
        <v>83</v>
      </c>
      <c r="D783" s="5" t="s">
        <v>35</v>
      </c>
      <c r="E783" s="5" t="s">
        <v>1008</v>
      </c>
      <c r="F783" s="5" t="s">
        <v>1318</v>
      </c>
      <c r="G783" s="5">
        <v>6689203764</v>
      </c>
      <c r="H783" s="5" t="s">
        <v>990</v>
      </c>
      <c r="I783" s="5" t="s">
        <v>247</v>
      </c>
      <c r="J783" s="5" t="s">
        <v>80</v>
      </c>
      <c r="K783" s="5" t="s">
        <v>998</v>
      </c>
      <c r="L783" s="6">
        <v>39254</v>
      </c>
    </row>
    <row r="784" spans="1:12" x14ac:dyDescent="0.25">
      <c r="A784" s="5">
        <v>783</v>
      </c>
      <c r="B784" s="5" t="s">
        <v>141</v>
      </c>
      <c r="C784" s="5" t="s">
        <v>75</v>
      </c>
      <c r="D784" s="5" t="s">
        <v>35</v>
      </c>
      <c r="E784" s="5" t="s">
        <v>977</v>
      </c>
      <c r="F784" s="5" t="s">
        <v>1158</v>
      </c>
      <c r="G784" s="5">
        <v>7066520455</v>
      </c>
      <c r="H784" s="5" t="s">
        <v>1207</v>
      </c>
      <c r="I784" s="5" t="s">
        <v>247</v>
      </c>
      <c r="J784" s="5" t="s">
        <v>112</v>
      </c>
      <c r="K784" s="5" t="s">
        <v>972</v>
      </c>
      <c r="L784" s="6">
        <v>39197</v>
      </c>
    </row>
    <row r="785" spans="1:12" x14ac:dyDescent="0.25">
      <c r="A785" s="5">
        <v>784</v>
      </c>
      <c r="B785" s="5" t="s">
        <v>368</v>
      </c>
      <c r="C785" s="5" t="s">
        <v>75</v>
      </c>
      <c r="D785" s="5" t="s">
        <v>35</v>
      </c>
      <c r="E785" s="5" t="s">
        <v>1011</v>
      </c>
      <c r="F785" s="5" t="s">
        <v>985</v>
      </c>
      <c r="G785" s="5">
        <v>6325424774</v>
      </c>
      <c r="H785" s="5" t="s">
        <v>1228</v>
      </c>
      <c r="I785" s="5" t="s">
        <v>247</v>
      </c>
      <c r="J785" s="5" t="s">
        <v>80</v>
      </c>
      <c r="K785" s="5" t="s">
        <v>994</v>
      </c>
      <c r="L785" s="6">
        <v>39299</v>
      </c>
    </row>
    <row r="786" spans="1:12" x14ac:dyDescent="0.25">
      <c r="A786" s="5">
        <v>785</v>
      </c>
      <c r="B786" s="5" t="s">
        <v>368</v>
      </c>
      <c r="C786" s="5" t="s">
        <v>83</v>
      </c>
      <c r="D786" s="5" t="s">
        <v>35</v>
      </c>
      <c r="E786" s="5" t="s">
        <v>969</v>
      </c>
      <c r="F786" s="5" t="s">
        <v>985</v>
      </c>
      <c r="G786" s="5">
        <v>6643342157</v>
      </c>
      <c r="H786" s="5" t="s">
        <v>1319</v>
      </c>
      <c r="I786" s="5" t="s">
        <v>247</v>
      </c>
      <c r="J786" s="5" t="s">
        <v>80</v>
      </c>
      <c r="K786" s="5" t="s">
        <v>972</v>
      </c>
      <c r="L786" s="6">
        <v>39434</v>
      </c>
    </row>
    <row r="787" spans="1:12" x14ac:dyDescent="0.25">
      <c r="A787" s="5">
        <v>786</v>
      </c>
      <c r="B787" s="5" t="s">
        <v>221</v>
      </c>
      <c r="C787" s="5" t="s">
        <v>75</v>
      </c>
      <c r="D787" s="5" t="s">
        <v>35</v>
      </c>
      <c r="E787" s="5" t="s">
        <v>995</v>
      </c>
      <c r="F787" s="5" t="s">
        <v>1274</v>
      </c>
      <c r="G787" s="5">
        <v>7035353112</v>
      </c>
      <c r="H787" s="5" t="s">
        <v>1320</v>
      </c>
      <c r="I787" s="5" t="s">
        <v>247</v>
      </c>
      <c r="J787" s="5" t="s">
        <v>80</v>
      </c>
      <c r="K787" s="5" t="s">
        <v>998</v>
      </c>
      <c r="L787" s="6">
        <v>39322</v>
      </c>
    </row>
    <row r="788" spans="1:12" x14ac:dyDescent="0.25">
      <c r="A788" s="5">
        <v>787</v>
      </c>
      <c r="B788" s="5" t="s">
        <v>8</v>
      </c>
      <c r="C788" s="5" t="s">
        <v>83</v>
      </c>
      <c r="D788" s="5" t="s">
        <v>35</v>
      </c>
      <c r="E788" s="5" t="s">
        <v>184</v>
      </c>
      <c r="F788" s="5" t="s">
        <v>1313</v>
      </c>
      <c r="G788" s="5">
        <v>6383822935</v>
      </c>
      <c r="H788" s="5" t="s">
        <v>1265</v>
      </c>
      <c r="I788" s="5" t="s">
        <v>247</v>
      </c>
      <c r="J788" s="5" t="s">
        <v>80</v>
      </c>
      <c r="K788" s="5" t="s">
        <v>90</v>
      </c>
      <c r="L788" s="6">
        <v>39188</v>
      </c>
    </row>
    <row r="789" spans="1:12" x14ac:dyDescent="0.25">
      <c r="A789" s="5">
        <v>788</v>
      </c>
      <c r="B789" s="5" t="s">
        <v>486</v>
      </c>
      <c r="C789" s="5" t="s">
        <v>75</v>
      </c>
      <c r="D789" s="5" t="s">
        <v>35</v>
      </c>
      <c r="E789" s="5" t="s">
        <v>1008</v>
      </c>
      <c r="F789" s="5" t="s">
        <v>982</v>
      </c>
      <c r="G789" s="5">
        <v>8720692304</v>
      </c>
      <c r="H789" s="5" t="s">
        <v>1321</v>
      </c>
      <c r="I789" s="5" t="s">
        <v>247</v>
      </c>
      <c r="J789" s="5" t="s">
        <v>80</v>
      </c>
      <c r="K789" s="5" t="s">
        <v>998</v>
      </c>
      <c r="L789" s="6">
        <v>39434</v>
      </c>
    </row>
    <row r="790" spans="1:12" x14ac:dyDescent="0.25">
      <c r="A790" s="5">
        <v>789</v>
      </c>
      <c r="B790" s="5" t="s">
        <v>442</v>
      </c>
      <c r="C790" s="5" t="s">
        <v>75</v>
      </c>
      <c r="D790" s="5" t="s">
        <v>35</v>
      </c>
      <c r="E790" s="5" t="s">
        <v>1016</v>
      </c>
      <c r="F790" s="5" t="s">
        <v>1322</v>
      </c>
      <c r="G790" s="5">
        <v>7121667479</v>
      </c>
      <c r="H790" s="5" t="s">
        <v>1139</v>
      </c>
      <c r="I790" s="5" t="s">
        <v>247</v>
      </c>
      <c r="J790" s="5" t="s">
        <v>80</v>
      </c>
      <c r="K790" s="5" t="s">
        <v>998</v>
      </c>
      <c r="L790" s="6">
        <v>39347</v>
      </c>
    </row>
    <row r="791" spans="1:12" x14ac:dyDescent="0.25">
      <c r="A791" s="5">
        <v>790</v>
      </c>
      <c r="B791" s="5" t="s">
        <v>297</v>
      </c>
      <c r="C791" s="5" t="s">
        <v>75</v>
      </c>
      <c r="D791" s="5" t="s">
        <v>35</v>
      </c>
      <c r="E791" s="5" t="s">
        <v>977</v>
      </c>
      <c r="F791" s="5" t="s">
        <v>1214</v>
      </c>
      <c r="G791" s="5">
        <v>9223401742</v>
      </c>
      <c r="H791" s="5" t="s">
        <v>1283</v>
      </c>
      <c r="I791" s="5" t="s">
        <v>247</v>
      </c>
      <c r="J791" s="5" t="s">
        <v>80</v>
      </c>
      <c r="K791" s="5" t="s">
        <v>972</v>
      </c>
      <c r="L791" s="6">
        <v>39211</v>
      </c>
    </row>
    <row r="792" spans="1:12" x14ac:dyDescent="0.25">
      <c r="A792" s="5">
        <v>791</v>
      </c>
      <c r="B792" s="5" t="s">
        <v>125</v>
      </c>
      <c r="C792" s="5" t="s">
        <v>75</v>
      </c>
      <c r="D792" s="5" t="s">
        <v>35</v>
      </c>
      <c r="E792" s="5" t="s">
        <v>1005</v>
      </c>
      <c r="F792" s="5" t="s">
        <v>1040</v>
      </c>
      <c r="G792" s="5">
        <v>9099127046</v>
      </c>
      <c r="H792" s="5" t="s">
        <v>986</v>
      </c>
      <c r="I792" s="5" t="s">
        <v>247</v>
      </c>
      <c r="J792" s="5" t="s">
        <v>80</v>
      </c>
      <c r="K792" s="5" t="s">
        <v>994</v>
      </c>
      <c r="L792" s="6">
        <v>39405</v>
      </c>
    </row>
    <row r="793" spans="1:12" x14ac:dyDescent="0.25">
      <c r="A793" s="5">
        <v>792</v>
      </c>
      <c r="B793" s="5" t="s">
        <v>218</v>
      </c>
      <c r="C793" s="5" t="s">
        <v>83</v>
      </c>
      <c r="D793" s="5" t="s">
        <v>35</v>
      </c>
      <c r="E793" s="5" t="s">
        <v>126</v>
      </c>
      <c r="F793" s="5" t="s">
        <v>1323</v>
      </c>
      <c r="G793" s="5">
        <v>8500737317</v>
      </c>
      <c r="H793" s="5" t="s">
        <v>1324</v>
      </c>
      <c r="I793" s="5" t="s">
        <v>247</v>
      </c>
      <c r="J793" s="5" t="s">
        <v>80</v>
      </c>
      <c r="K793" s="5" t="s">
        <v>90</v>
      </c>
      <c r="L793" s="6">
        <v>39194</v>
      </c>
    </row>
    <row r="794" spans="1:12" x14ac:dyDescent="0.25">
      <c r="A794" s="5">
        <v>793</v>
      </c>
      <c r="B794" s="5" t="s">
        <v>494</v>
      </c>
      <c r="C794" s="5" t="s">
        <v>83</v>
      </c>
      <c r="D794" s="5" t="s">
        <v>35</v>
      </c>
      <c r="E794" s="5" t="s">
        <v>467</v>
      </c>
      <c r="F794" s="5" t="s">
        <v>1173</v>
      </c>
      <c r="G794" s="5">
        <v>8589827552</v>
      </c>
      <c r="H794" s="5" t="s">
        <v>1218</v>
      </c>
      <c r="I794" s="5" t="s">
        <v>247</v>
      </c>
      <c r="J794" s="5" t="s">
        <v>80</v>
      </c>
      <c r="K794" s="5" t="s">
        <v>400</v>
      </c>
      <c r="L794" s="6">
        <v>39256</v>
      </c>
    </row>
    <row r="795" spans="1:12" x14ac:dyDescent="0.25">
      <c r="A795" s="5">
        <v>794</v>
      </c>
      <c r="B795" s="5" t="s">
        <v>262</v>
      </c>
      <c r="C795" s="5" t="s">
        <v>83</v>
      </c>
      <c r="D795" s="5" t="s">
        <v>35</v>
      </c>
      <c r="E795" s="5" t="s">
        <v>1016</v>
      </c>
      <c r="F795" s="5" t="s">
        <v>1136</v>
      </c>
      <c r="G795" s="5">
        <v>9253193732</v>
      </c>
      <c r="H795" s="5" t="s">
        <v>1315</v>
      </c>
      <c r="I795" s="5" t="s">
        <v>247</v>
      </c>
      <c r="J795" s="5" t="s">
        <v>80</v>
      </c>
      <c r="K795" s="5" t="s">
        <v>998</v>
      </c>
      <c r="L795" s="6">
        <v>39248</v>
      </c>
    </row>
    <row r="796" spans="1:12" x14ac:dyDescent="0.25">
      <c r="A796" s="5">
        <v>795</v>
      </c>
      <c r="B796" s="5" t="s">
        <v>113</v>
      </c>
      <c r="C796" s="5" t="s">
        <v>75</v>
      </c>
      <c r="D796" s="5" t="s">
        <v>35</v>
      </c>
      <c r="E796" s="5" t="s">
        <v>969</v>
      </c>
      <c r="F796" s="5" t="s">
        <v>1148</v>
      </c>
      <c r="G796" s="5">
        <v>8512918412</v>
      </c>
      <c r="H796" s="5" t="s">
        <v>1100</v>
      </c>
      <c r="I796" s="5" t="s">
        <v>247</v>
      </c>
      <c r="J796" s="5" t="s">
        <v>80</v>
      </c>
      <c r="K796" s="5" t="s">
        <v>972</v>
      </c>
      <c r="L796" s="6">
        <v>39272</v>
      </c>
    </row>
    <row r="797" spans="1:12" x14ac:dyDescent="0.25">
      <c r="A797" s="5">
        <v>796</v>
      </c>
      <c r="B797" s="5" t="s">
        <v>230</v>
      </c>
      <c r="C797" s="5" t="s">
        <v>83</v>
      </c>
      <c r="D797" s="5" t="s">
        <v>35</v>
      </c>
      <c r="E797" s="5" t="s">
        <v>984</v>
      </c>
      <c r="F797" s="5" t="s">
        <v>1167</v>
      </c>
      <c r="G797" s="5">
        <v>8543974726</v>
      </c>
      <c r="H797" s="5" t="s">
        <v>1261</v>
      </c>
      <c r="I797" s="5" t="s">
        <v>247</v>
      </c>
      <c r="J797" s="5" t="s">
        <v>159</v>
      </c>
      <c r="K797" s="5" t="s">
        <v>972</v>
      </c>
      <c r="L797" s="6">
        <v>39189</v>
      </c>
    </row>
    <row r="798" spans="1:12" x14ac:dyDescent="0.25">
      <c r="A798" s="5">
        <v>797</v>
      </c>
      <c r="B798" s="5" t="s">
        <v>191</v>
      </c>
      <c r="C798" s="5" t="s">
        <v>75</v>
      </c>
      <c r="D798" s="5" t="s">
        <v>35</v>
      </c>
      <c r="E798" s="5" t="s">
        <v>984</v>
      </c>
      <c r="F798" s="5" t="s">
        <v>1084</v>
      </c>
      <c r="G798" s="5">
        <v>7671657786</v>
      </c>
      <c r="H798" s="5" t="s">
        <v>1325</v>
      </c>
      <c r="I798" s="5" t="s">
        <v>247</v>
      </c>
      <c r="J798" s="5" t="s">
        <v>80</v>
      </c>
      <c r="K798" s="5" t="s">
        <v>972</v>
      </c>
      <c r="L798" s="6">
        <v>39181</v>
      </c>
    </row>
    <row r="799" spans="1:12" x14ac:dyDescent="0.25">
      <c r="A799" s="5">
        <v>798</v>
      </c>
      <c r="B799" s="5" t="s">
        <v>384</v>
      </c>
      <c r="C799" s="5" t="s">
        <v>75</v>
      </c>
      <c r="D799" s="5" t="s">
        <v>35</v>
      </c>
      <c r="E799" s="5" t="s">
        <v>1016</v>
      </c>
      <c r="F799" s="5" t="s">
        <v>1024</v>
      </c>
      <c r="G799" s="5">
        <v>7560527584</v>
      </c>
      <c r="H799" s="5" t="s">
        <v>1326</v>
      </c>
      <c r="I799" s="5" t="s">
        <v>247</v>
      </c>
      <c r="J799" s="5" t="s">
        <v>80</v>
      </c>
      <c r="K799" s="5" t="s">
        <v>998</v>
      </c>
      <c r="L799" s="6">
        <v>39406</v>
      </c>
    </row>
    <row r="800" spans="1:12" x14ac:dyDescent="0.25">
      <c r="A800" s="5">
        <v>799</v>
      </c>
      <c r="B800" s="5" t="s">
        <v>151</v>
      </c>
      <c r="C800" s="5" t="s">
        <v>83</v>
      </c>
      <c r="D800" s="5" t="s">
        <v>35</v>
      </c>
      <c r="E800" s="5" t="s">
        <v>1008</v>
      </c>
      <c r="F800" s="5" t="s">
        <v>1105</v>
      </c>
      <c r="G800" s="5">
        <v>6560876607</v>
      </c>
      <c r="H800" s="5" t="s">
        <v>1327</v>
      </c>
      <c r="I800" s="5" t="s">
        <v>247</v>
      </c>
      <c r="J800" s="5" t="s">
        <v>80</v>
      </c>
      <c r="K800" s="5" t="s">
        <v>998</v>
      </c>
      <c r="L800" s="6">
        <v>39146</v>
      </c>
    </row>
    <row r="801" spans="1:12" x14ac:dyDescent="0.25">
      <c r="A801" s="5">
        <v>800</v>
      </c>
      <c r="B801" s="5" t="s">
        <v>265</v>
      </c>
      <c r="C801" s="5" t="s">
        <v>83</v>
      </c>
      <c r="D801" s="5" t="s">
        <v>35</v>
      </c>
      <c r="E801" s="5" t="s">
        <v>984</v>
      </c>
      <c r="F801" s="5" t="s">
        <v>1072</v>
      </c>
      <c r="G801" s="5">
        <v>8051618452</v>
      </c>
      <c r="H801" s="5" t="s">
        <v>1245</v>
      </c>
      <c r="I801" s="5" t="s">
        <v>247</v>
      </c>
      <c r="J801" s="5" t="s">
        <v>80</v>
      </c>
      <c r="K801" s="5" t="s">
        <v>972</v>
      </c>
      <c r="L801" s="6">
        <v>39154</v>
      </c>
    </row>
    <row r="802" spans="1:12" x14ac:dyDescent="0.25">
      <c r="A802" s="5">
        <v>801</v>
      </c>
      <c r="B802" s="5" t="s">
        <v>373</v>
      </c>
      <c r="C802" s="5" t="s">
        <v>75</v>
      </c>
      <c r="D802" s="5" t="s">
        <v>35</v>
      </c>
      <c r="E802" s="5" t="s">
        <v>438</v>
      </c>
      <c r="F802" s="5" t="s">
        <v>1056</v>
      </c>
      <c r="G802" s="5">
        <v>6629637400</v>
      </c>
      <c r="H802" s="5" t="s">
        <v>1328</v>
      </c>
      <c r="I802" s="5" t="s">
        <v>247</v>
      </c>
      <c r="J802" s="5" t="s">
        <v>80</v>
      </c>
      <c r="K802" s="5" t="s">
        <v>400</v>
      </c>
      <c r="L802" s="6">
        <v>39265</v>
      </c>
    </row>
    <row r="803" spans="1:12" x14ac:dyDescent="0.25">
      <c r="A803" s="5">
        <v>802</v>
      </c>
      <c r="B803" s="5" t="s">
        <v>396</v>
      </c>
      <c r="C803" s="5" t="s">
        <v>83</v>
      </c>
      <c r="D803" s="5" t="s">
        <v>35</v>
      </c>
      <c r="E803" s="5" t="s">
        <v>1034</v>
      </c>
      <c r="F803" s="5" t="s">
        <v>1012</v>
      </c>
      <c r="G803" s="5">
        <v>7853490706</v>
      </c>
      <c r="H803" s="5" t="s">
        <v>1329</v>
      </c>
      <c r="I803" s="5" t="s">
        <v>247</v>
      </c>
      <c r="J803" s="5" t="s">
        <v>112</v>
      </c>
      <c r="K803" s="5" t="s">
        <v>994</v>
      </c>
      <c r="L803" s="6">
        <v>39177</v>
      </c>
    </row>
    <row r="804" spans="1:12" x14ac:dyDescent="0.25">
      <c r="A804" s="5">
        <v>803</v>
      </c>
      <c r="B804" s="5" t="s">
        <v>641</v>
      </c>
      <c r="C804" s="5" t="s">
        <v>75</v>
      </c>
      <c r="D804" s="5" t="s">
        <v>35</v>
      </c>
      <c r="E804" s="5" t="s">
        <v>984</v>
      </c>
      <c r="F804" s="5" t="s">
        <v>1258</v>
      </c>
      <c r="G804" s="5">
        <v>9794474942</v>
      </c>
      <c r="H804" s="5" t="s">
        <v>1093</v>
      </c>
      <c r="I804" s="5" t="s">
        <v>247</v>
      </c>
      <c r="J804" s="5" t="s">
        <v>112</v>
      </c>
      <c r="K804" s="5" t="s">
        <v>972</v>
      </c>
      <c r="L804" s="6">
        <v>39174</v>
      </c>
    </row>
    <row r="805" spans="1:12" x14ac:dyDescent="0.25">
      <c r="A805" s="5">
        <v>804</v>
      </c>
      <c r="B805" s="5" t="s">
        <v>575</v>
      </c>
      <c r="C805" s="5" t="s">
        <v>75</v>
      </c>
      <c r="D805" s="5" t="s">
        <v>35</v>
      </c>
      <c r="E805" s="5" t="s">
        <v>438</v>
      </c>
      <c r="F805" s="5" t="s">
        <v>1006</v>
      </c>
      <c r="G805" s="5">
        <v>6531245327</v>
      </c>
      <c r="H805" s="5" t="s">
        <v>1077</v>
      </c>
      <c r="I805" s="5" t="s">
        <v>247</v>
      </c>
      <c r="J805" s="5" t="s">
        <v>129</v>
      </c>
      <c r="K805" s="5" t="s">
        <v>400</v>
      </c>
      <c r="L805" s="6">
        <v>39261</v>
      </c>
    </row>
    <row r="806" spans="1:12" x14ac:dyDescent="0.25">
      <c r="A806" s="5">
        <v>805</v>
      </c>
      <c r="B806" s="5" t="s">
        <v>203</v>
      </c>
      <c r="C806" s="5" t="s">
        <v>83</v>
      </c>
      <c r="D806" s="5" t="s">
        <v>35</v>
      </c>
      <c r="E806" s="5" t="s">
        <v>1034</v>
      </c>
      <c r="F806" s="5" t="s">
        <v>1051</v>
      </c>
      <c r="G806" s="5">
        <v>9185147039</v>
      </c>
      <c r="H806" s="5" t="s">
        <v>1031</v>
      </c>
      <c r="I806" s="5" t="s">
        <v>247</v>
      </c>
      <c r="J806" s="5" t="s">
        <v>80</v>
      </c>
      <c r="K806" s="5" t="s">
        <v>994</v>
      </c>
      <c r="L806" s="6">
        <v>39265</v>
      </c>
    </row>
    <row r="807" spans="1:12" x14ac:dyDescent="0.25">
      <c r="A807" s="5">
        <v>806</v>
      </c>
      <c r="B807" s="5" t="s">
        <v>360</v>
      </c>
      <c r="C807" s="5" t="s">
        <v>83</v>
      </c>
      <c r="D807" s="5" t="s">
        <v>35</v>
      </c>
      <c r="E807" s="5" t="s">
        <v>969</v>
      </c>
      <c r="F807" s="5" t="s">
        <v>987</v>
      </c>
      <c r="G807" s="5">
        <v>8296412792</v>
      </c>
      <c r="H807" s="5" t="s">
        <v>1330</v>
      </c>
      <c r="I807" s="5" t="s">
        <v>247</v>
      </c>
      <c r="J807" s="5" t="s">
        <v>129</v>
      </c>
      <c r="K807" s="5" t="s">
        <v>972</v>
      </c>
      <c r="L807" s="6">
        <v>39308</v>
      </c>
    </row>
    <row r="808" spans="1:12" x14ac:dyDescent="0.25">
      <c r="A808" s="5">
        <v>807</v>
      </c>
      <c r="B808" s="5" t="s">
        <v>195</v>
      </c>
      <c r="C808" s="5" t="s">
        <v>83</v>
      </c>
      <c r="D808" s="5" t="s">
        <v>35</v>
      </c>
      <c r="E808" s="5" t="s">
        <v>1016</v>
      </c>
      <c r="F808" s="5" t="s">
        <v>1069</v>
      </c>
      <c r="G808" s="5">
        <v>7386255292</v>
      </c>
      <c r="H808" s="5" t="s">
        <v>997</v>
      </c>
      <c r="I808" s="5" t="s">
        <v>247</v>
      </c>
      <c r="J808" s="5" t="s">
        <v>80</v>
      </c>
      <c r="K808" s="5" t="s">
        <v>998</v>
      </c>
      <c r="L808" s="6">
        <v>39406</v>
      </c>
    </row>
    <row r="809" spans="1:12" x14ac:dyDescent="0.25">
      <c r="A809" s="5">
        <v>808</v>
      </c>
      <c r="B809" s="5" t="s">
        <v>350</v>
      </c>
      <c r="C809" s="5" t="s">
        <v>83</v>
      </c>
      <c r="D809" s="5" t="s">
        <v>35</v>
      </c>
      <c r="E809" s="5" t="s">
        <v>991</v>
      </c>
      <c r="F809" s="5" t="s">
        <v>1118</v>
      </c>
      <c r="G809" s="5">
        <v>6951313978</v>
      </c>
      <c r="H809" s="5" t="s">
        <v>1331</v>
      </c>
      <c r="I809" s="5" t="s">
        <v>247</v>
      </c>
      <c r="J809" s="5" t="s">
        <v>80</v>
      </c>
      <c r="K809" s="5" t="s">
        <v>994</v>
      </c>
      <c r="L809" s="6">
        <v>39207</v>
      </c>
    </row>
    <row r="810" spans="1:12" x14ac:dyDescent="0.25">
      <c r="A810" s="5">
        <v>809</v>
      </c>
      <c r="B810" s="5" t="s">
        <v>303</v>
      </c>
      <c r="C810" s="5" t="s">
        <v>75</v>
      </c>
      <c r="D810" s="5" t="s">
        <v>35</v>
      </c>
      <c r="E810" s="5" t="s">
        <v>184</v>
      </c>
      <c r="F810" s="5" t="s">
        <v>1203</v>
      </c>
      <c r="G810" s="5">
        <v>6396918470</v>
      </c>
      <c r="H810" s="5" t="s">
        <v>990</v>
      </c>
      <c r="I810" s="5" t="s">
        <v>247</v>
      </c>
      <c r="J810" s="5" t="s">
        <v>129</v>
      </c>
      <c r="K810" s="5" t="s">
        <v>90</v>
      </c>
      <c r="L810" s="6">
        <v>39399</v>
      </c>
    </row>
    <row r="811" spans="1:12" x14ac:dyDescent="0.25">
      <c r="A811" s="5">
        <v>810</v>
      </c>
      <c r="B811" s="5" t="s">
        <v>208</v>
      </c>
      <c r="C811" s="5" t="s">
        <v>75</v>
      </c>
      <c r="D811" s="5" t="s">
        <v>35</v>
      </c>
      <c r="E811" s="5" t="s">
        <v>1011</v>
      </c>
      <c r="F811" s="5" t="s">
        <v>1019</v>
      </c>
      <c r="G811" s="5">
        <v>6852492797</v>
      </c>
      <c r="H811" s="5" t="s">
        <v>1332</v>
      </c>
      <c r="I811" s="5" t="s">
        <v>247</v>
      </c>
      <c r="J811" s="5" t="s">
        <v>80</v>
      </c>
      <c r="K811" s="5" t="s">
        <v>994</v>
      </c>
      <c r="L811" s="6">
        <v>39369</v>
      </c>
    </row>
    <row r="812" spans="1:12" x14ac:dyDescent="0.25">
      <c r="A812" s="5">
        <v>811</v>
      </c>
      <c r="B812" s="5" t="s">
        <v>168</v>
      </c>
      <c r="C812" s="5" t="s">
        <v>83</v>
      </c>
      <c r="D812" s="5" t="s">
        <v>35</v>
      </c>
      <c r="E812" s="5" t="s">
        <v>109</v>
      </c>
      <c r="F812" s="5" t="s">
        <v>1155</v>
      </c>
      <c r="G812" s="5">
        <v>8157424670</v>
      </c>
      <c r="H812" s="5" t="s">
        <v>1333</v>
      </c>
      <c r="I812" s="5" t="s">
        <v>247</v>
      </c>
      <c r="J812" s="5" t="s">
        <v>80</v>
      </c>
      <c r="K812" s="5" t="s">
        <v>81</v>
      </c>
      <c r="L812" s="6">
        <v>39207</v>
      </c>
    </row>
    <row r="813" spans="1:12" x14ac:dyDescent="0.25">
      <c r="A813" s="5">
        <v>812</v>
      </c>
      <c r="B813" s="5" t="s">
        <v>180</v>
      </c>
      <c r="C813" s="5" t="s">
        <v>83</v>
      </c>
      <c r="D813" s="5" t="s">
        <v>35</v>
      </c>
      <c r="E813" s="5" t="s">
        <v>467</v>
      </c>
      <c r="F813" s="5" t="s">
        <v>1146</v>
      </c>
      <c r="G813" s="5">
        <v>6849946048</v>
      </c>
      <c r="H813" s="5" t="s">
        <v>1334</v>
      </c>
      <c r="I813" s="5" t="s">
        <v>247</v>
      </c>
      <c r="J813" s="5" t="s">
        <v>80</v>
      </c>
      <c r="K813" s="5" t="s">
        <v>400</v>
      </c>
      <c r="L813" s="6">
        <v>39409</v>
      </c>
    </row>
    <row r="814" spans="1:12" x14ac:dyDescent="0.25">
      <c r="A814" s="5">
        <v>813</v>
      </c>
      <c r="B814" s="5" t="s">
        <v>221</v>
      </c>
      <c r="C814" s="5" t="s">
        <v>75</v>
      </c>
      <c r="D814" s="5" t="s">
        <v>35</v>
      </c>
      <c r="E814" s="5" t="s">
        <v>1016</v>
      </c>
      <c r="F814" s="5" t="s">
        <v>1274</v>
      </c>
      <c r="G814" s="5">
        <v>6371370886</v>
      </c>
      <c r="H814" s="5" t="s">
        <v>1172</v>
      </c>
      <c r="I814" s="5" t="s">
        <v>247</v>
      </c>
      <c r="J814" s="5" t="s">
        <v>159</v>
      </c>
      <c r="K814" s="5" t="s">
        <v>998</v>
      </c>
      <c r="L814" s="6">
        <v>39353</v>
      </c>
    </row>
    <row r="815" spans="1:12" x14ac:dyDescent="0.25">
      <c r="A815" s="5">
        <v>814</v>
      </c>
      <c r="B815" s="5" t="s">
        <v>442</v>
      </c>
      <c r="C815" s="5" t="s">
        <v>75</v>
      </c>
      <c r="D815" s="5" t="s">
        <v>35</v>
      </c>
      <c r="E815" s="5" t="s">
        <v>984</v>
      </c>
      <c r="F815" s="5" t="s">
        <v>1322</v>
      </c>
      <c r="G815" s="5">
        <v>7917457191</v>
      </c>
      <c r="H815" s="5" t="s">
        <v>1254</v>
      </c>
      <c r="I815" s="5" t="s">
        <v>247</v>
      </c>
      <c r="J815" s="5" t="s">
        <v>129</v>
      </c>
      <c r="K815" s="5" t="s">
        <v>972</v>
      </c>
      <c r="L815" s="6">
        <v>39407</v>
      </c>
    </row>
    <row r="816" spans="1:12" x14ac:dyDescent="0.25">
      <c r="A816" s="5">
        <v>815</v>
      </c>
      <c r="B816" s="5" t="s">
        <v>494</v>
      </c>
      <c r="C816" s="5" t="s">
        <v>75</v>
      </c>
      <c r="D816" s="5" t="s">
        <v>35</v>
      </c>
      <c r="E816" s="5" t="s">
        <v>991</v>
      </c>
      <c r="F816" s="5" t="s">
        <v>1173</v>
      </c>
      <c r="G816" s="5">
        <v>9851136750</v>
      </c>
      <c r="H816" s="5" t="s">
        <v>1018</v>
      </c>
      <c r="I816" s="5" t="s">
        <v>247</v>
      </c>
      <c r="J816" s="5" t="s">
        <v>80</v>
      </c>
      <c r="K816" s="5" t="s">
        <v>994</v>
      </c>
      <c r="L816" s="6">
        <v>39284</v>
      </c>
    </row>
    <row r="817" spans="1:12" x14ac:dyDescent="0.25">
      <c r="A817" s="5">
        <v>816</v>
      </c>
      <c r="B817" s="5" t="s">
        <v>144</v>
      </c>
      <c r="C817" s="5" t="s">
        <v>75</v>
      </c>
      <c r="D817" s="5" t="s">
        <v>35</v>
      </c>
      <c r="E817" s="5" t="s">
        <v>977</v>
      </c>
      <c r="F817" s="5" t="s">
        <v>1001</v>
      </c>
      <c r="G817" s="5">
        <v>6363531848</v>
      </c>
      <c r="H817" s="5" t="s">
        <v>1335</v>
      </c>
      <c r="I817" s="5" t="s">
        <v>247</v>
      </c>
      <c r="J817" s="5" t="s">
        <v>159</v>
      </c>
      <c r="K817" s="5" t="s">
        <v>972</v>
      </c>
      <c r="L817" s="6">
        <v>39301</v>
      </c>
    </row>
    <row r="818" spans="1:12" x14ac:dyDescent="0.25">
      <c r="A818" s="5">
        <v>817</v>
      </c>
      <c r="B818" s="5" t="s">
        <v>144</v>
      </c>
      <c r="C818" s="5" t="s">
        <v>83</v>
      </c>
      <c r="D818" s="5" t="s">
        <v>35</v>
      </c>
      <c r="E818" s="5" t="s">
        <v>969</v>
      </c>
      <c r="F818" s="5" t="s">
        <v>1001</v>
      </c>
      <c r="G818" s="5">
        <v>8654433224</v>
      </c>
      <c r="H818" s="5" t="s">
        <v>1135</v>
      </c>
      <c r="I818" s="5" t="s">
        <v>247</v>
      </c>
      <c r="J818" s="5" t="s">
        <v>80</v>
      </c>
      <c r="K818" s="5" t="s">
        <v>972</v>
      </c>
      <c r="L818" s="6">
        <v>39346</v>
      </c>
    </row>
    <row r="819" spans="1:12" x14ac:dyDescent="0.25">
      <c r="A819" s="5">
        <v>818</v>
      </c>
      <c r="B819" s="5" t="s">
        <v>95</v>
      </c>
      <c r="C819" s="5" t="s">
        <v>75</v>
      </c>
      <c r="D819" s="5" t="s">
        <v>35</v>
      </c>
      <c r="E819" s="5" t="s">
        <v>977</v>
      </c>
      <c r="F819" s="5" t="s">
        <v>1244</v>
      </c>
      <c r="G819" s="5">
        <v>6812616949</v>
      </c>
      <c r="H819" s="5" t="s">
        <v>1336</v>
      </c>
      <c r="I819" s="5" t="s">
        <v>247</v>
      </c>
      <c r="J819" s="5" t="s">
        <v>112</v>
      </c>
      <c r="K819" s="5" t="s">
        <v>972</v>
      </c>
      <c r="L819" s="6">
        <v>39350</v>
      </c>
    </row>
    <row r="820" spans="1:12" x14ac:dyDescent="0.25">
      <c r="A820" s="5">
        <v>819</v>
      </c>
      <c r="B820" s="5" t="s">
        <v>1042</v>
      </c>
      <c r="C820" s="5" t="s">
        <v>75</v>
      </c>
      <c r="D820" s="5" t="s">
        <v>35</v>
      </c>
      <c r="E820" s="5" t="s">
        <v>977</v>
      </c>
      <c r="F820" s="5" t="s">
        <v>1043</v>
      </c>
      <c r="G820" s="5">
        <v>7203185989</v>
      </c>
      <c r="H820" s="5" t="s">
        <v>1089</v>
      </c>
      <c r="I820" s="5" t="s">
        <v>247</v>
      </c>
      <c r="J820" s="5" t="s">
        <v>80</v>
      </c>
      <c r="K820" s="5" t="s">
        <v>972</v>
      </c>
      <c r="L820" s="6">
        <v>39260</v>
      </c>
    </row>
    <row r="821" spans="1:12" x14ac:dyDescent="0.25">
      <c r="A821" s="5">
        <v>820</v>
      </c>
      <c r="B821" s="5" t="s">
        <v>732</v>
      </c>
      <c r="C821" s="5" t="s">
        <v>75</v>
      </c>
      <c r="D821" s="5" t="s">
        <v>35</v>
      </c>
      <c r="E821" s="5" t="s">
        <v>991</v>
      </c>
      <c r="F821" s="5" t="s">
        <v>1115</v>
      </c>
      <c r="G821" s="5">
        <v>6718045515</v>
      </c>
      <c r="H821" s="5" t="s">
        <v>1337</v>
      </c>
      <c r="I821" s="5" t="s">
        <v>247</v>
      </c>
      <c r="J821" s="5" t="s">
        <v>80</v>
      </c>
      <c r="K821" s="5" t="s">
        <v>994</v>
      </c>
      <c r="L821" s="6">
        <v>39271</v>
      </c>
    </row>
    <row r="822" spans="1:12" x14ac:dyDescent="0.25">
      <c r="A822" s="5">
        <v>821</v>
      </c>
      <c r="B822" s="5" t="s">
        <v>457</v>
      </c>
      <c r="C822" s="5" t="s">
        <v>83</v>
      </c>
      <c r="D822" s="5" t="s">
        <v>35</v>
      </c>
      <c r="E822" s="5" t="s">
        <v>1034</v>
      </c>
      <c r="F822" s="5" t="s">
        <v>1086</v>
      </c>
      <c r="G822" s="5">
        <v>9290267574</v>
      </c>
      <c r="H822" s="5" t="s">
        <v>1110</v>
      </c>
      <c r="I822" s="5" t="s">
        <v>247</v>
      </c>
      <c r="J822" s="5" t="s">
        <v>80</v>
      </c>
      <c r="K822" s="5" t="s">
        <v>994</v>
      </c>
      <c r="L822" s="6">
        <v>39236</v>
      </c>
    </row>
    <row r="823" spans="1:12" x14ac:dyDescent="0.25">
      <c r="A823" s="5">
        <v>822</v>
      </c>
      <c r="B823" s="5" t="s">
        <v>144</v>
      </c>
      <c r="C823" s="5" t="s">
        <v>75</v>
      </c>
      <c r="D823" s="5" t="s">
        <v>35</v>
      </c>
      <c r="E823" s="5" t="s">
        <v>1034</v>
      </c>
      <c r="F823" s="5" t="s">
        <v>1001</v>
      </c>
      <c r="G823" s="5">
        <v>6484446247</v>
      </c>
      <c r="H823" s="5" t="s">
        <v>1338</v>
      </c>
      <c r="I823" s="5" t="s">
        <v>247</v>
      </c>
      <c r="J823" s="5" t="s">
        <v>80</v>
      </c>
      <c r="K823" s="5" t="s">
        <v>994</v>
      </c>
      <c r="L823" s="6">
        <v>39092</v>
      </c>
    </row>
    <row r="824" spans="1:12" x14ac:dyDescent="0.25">
      <c r="A824" s="5">
        <v>823</v>
      </c>
      <c r="B824" s="5" t="s">
        <v>218</v>
      </c>
      <c r="C824" s="5" t="s">
        <v>75</v>
      </c>
      <c r="D824" s="5" t="s">
        <v>35</v>
      </c>
      <c r="E824" s="5" t="s">
        <v>995</v>
      </c>
      <c r="F824" s="5" t="s">
        <v>1323</v>
      </c>
      <c r="G824" s="5">
        <v>6678929394</v>
      </c>
      <c r="H824" s="5" t="s">
        <v>1339</v>
      </c>
      <c r="I824" s="5" t="s">
        <v>247</v>
      </c>
      <c r="J824" s="5" t="s">
        <v>80</v>
      </c>
      <c r="K824" s="5" t="s">
        <v>998</v>
      </c>
      <c r="L824" s="6">
        <v>39230</v>
      </c>
    </row>
    <row r="825" spans="1:12" x14ac:dyDescent="0.25">
      <c r="A825" s="5">
        <v>824</v>
      </c>
      <c r="B825" s="5" t="s">
        <v>442</v>
      </c>
      <c r="C825" s="5" t="s">
        <v>75</v>
      </c>
      <c r="D825" s="5" t="s">
        <v>35</v>
      </c>
      <c r="E825" s="5" t="s">
        <v>995</v>
      </c>
      <c r="F825" s="5" t="s">
        <v>1322</v>
      </c>
      <c r="G825" s="5">
        <v>7214148157</v>
      </c>
      <c r="H825" s="5" t="s">
        <v>1334</v>
      </c>
      <c r="I825" s="5" t="s">
        <v>247</v>
      </c>
      <c r="J825" s="5" t="s">
        <v>80</v>
      </c>
      <c r="K825" s="5" t="s">
        <v>998</v>
      </c>
      <c r="L825" s="6">
        <v>39356</v>
      </c>
    </row>
    <row r="826" spans="1:12" x14ac:dyDescent="0.25">
      <c r="A826" s="5">
        <v>825</v>
      </c>
      <c r="B826" s="5" t="s">
        <v>228</v>
      </c>
      <c r="C826" s="5" t="s">
        <v>75</v>
      </c>
      <c r="D826" s="5" t="s">
        <v>35</v>
      </c>
      <c r="E826" s="5" t="s">
        <v>1016</v>
      </c>
      <c r="F826" s="5" t="s">
        <v>1046</v>
      </c>
      <c r="G826" s="5">
        <v>9467842696</v>
      </c>
      <c r="H826" s="5" t="s">
        <v>979</v>
      </c>
      <c r="I826" s="5" t="s">
        <v>247</v>
      </c>
      <c r="J826" s="5" t="s">
        <v>80</v>
      </c>
      <c r="K826" s="5" t="s">
        <v>998</v>
      </c>
      <c r="L826" s="6">
        <v>39105</v>
      </c>
    </row>
    <row r="827" spans="1:12" x14ac:dyDescent="0.25">
      <c r="A827" s="5">
        <v>826</v>
      </c>
      <c r="B827" s="5" t="s">
        <v>537</v>
      </c>
      <c r="C827" s="5" t="s">
        <v>75</v>
      </c>
      <c r="D827" s="5" t="s">
        <v>35</v>
      </c>
      <c r="E827" s="5" t="s">
        <v>995</v>
      </c>
      <c r="F827" s="5" t="s">
        <v>1181</v>
      </c>
      <c r="G827" s="5">
        <v>7562147241</v>
      </c>
      <c r="H827" s="5" t="s">
        <v>1340</v>
      </c>
      <c r="I827" s="5" t="s">
        <v>247</v>
      </c>
      <c r="J827" s="5" t="s">
        <v>80</v>
      </c>
      <c r="K827" s="5" t="s">
        <v>998</v>
      </c>
      <c r="L827" s="6">
        <v>39177</v>
      </c>
    </row>
    <row r="828" spans="1:12" x14ac:dyDescent="0.25">
      <c r="A828" s="5">
        <v>827</v>
      </c>
      <c r="B828" s="5" t="s">
        <v>1042</v>
      </c>
      <c r="C828" s="5" t="s">
        <v>75</v>
      </c>
      <c r="D828" s="5" t="s">
        <v>35</v>
      </c>
      <c r="E828" s="5" t="s">
        <v>969</v>
      </c>
      <c r="F828" s="5" t="s">
        <v>1043</v>
      </c>
      <c r="G828" s="5">
        <v>6890226103</v>
      </c>
      <c r="H828" s="5" t="s">
        <v>1341</v>
      </c>
      <c r="I828" s="5" t="s">
        <v>247</v>
      </c>
      <c r="J828" s="5" t="s">
        <v>80</v>
      </c>
      <c r="K828" s="5" t="s">
        <v>972</v>
      </c>
      <c r="L828" s="6">
        <v>39196</v>
      </c>
    </row>
    <row r="829" spans="1:12" x14ac:dyDescent="0.25">
      <c r="A829" s="5">
        <v>828</v>
      </c>
      <c r="B829" s="5" t="s">
        <v>396</v>
      </c>
      <c r="C829" s="5" t="s">
        <v>83</v>
      </c>
      <c r="D829" s="5" t="s">
        <v>35</v>
      </c>
      <c r="E829" s="5" t="s">
        <v>969</v>
      </c>
      <c r="F829" s="5" t="s">
        <v>1012</v>
      </c>
      <c r="G829" s="5">
        <v>8302105054</v>
      </c>
      <c r="H829" s="5" t="s">
        <v>1252</v>
      </c>
      <c r="I829" s="5" t="s">
        <v>247</v>
      </c>
      <c r="J829" s="5" t="s">
        <v>80</v>
      </c>
      <c r="K829" s="5" t="s">
        <v>972</v>
      </c>
      <c r="L829" s="6">
        <v>39260</v>
      </c>
    </row>
    <row r="830" spans="1:12" x14ac:dyDescent="0.25">
      <c r="A830" s="5">
        <v>829</v>
      </c>
      <c r="B830" s="5" t="s">
        <v>276</v>
      </c>
      <c r="C830" s="5" t="s">
        <v>83</v>
      </c>
      <c r="D830" s="5" t="s">
        <v>35</v>
      </c>
      <c r="E830" s="5" t="s">
        <v>92</v>
      </c>
      <c r="F830" s="5" t="s">
        <v>1045</v>
      </c>
      <c r="G830" s="5">
        <v>9122072512</v>
      </c>
      <c r="H830" s="5" t="s">
        <v>1239</v>
      </c>
      <c r="I830" s="5" t="s">
        <v>247</v>
      </c>
      <c r="J830" s="5" t="s">
        <v>80</v>
      </c>
      <c r="K830" s="5" t="s">
        <v>81</v>
      </c>
      <c r="L830" s="6">
        <v>39098</v>
      </c>
    </row>
    <row r="831" spans="1:12" x14ac:dyDescent="0.25">
      <c r="A831" s="5">
        <v>830</v>
      </c>
      <c r="B831" s="5" t="s">
        <v>91</v>
      </c>
      <c r="C831" s="5" t="s">
        <v>75</v>
      </c>
      <c r="D831" s="5" t="s">
        <v>35</v>
      </c>
      <c r="E831" s="5" t="s">
        <v>1016</v>
      </c>
      <c r="F831" s="5" t="s">
        <v>1094</v>
      </c>
      <c r="G831" s="5">
        <v>8540426952</v>
      </c>
      <c r="H831" s="5" t="s">
        <v>1342</v>
      </c>
      <c r="I831" s="5" t="s">
        <v>247</v>
      </c>
      <c r="J831" s="5" t="s">
        <v>80</v>
      </c>
      <c r="K831" s="5" t="s">
        <v>998</v>
      </c>
      <c r="L831" s="6">
        <v>39404</v>
      </c>
    </row>
    <row r="832" spans="1:12" x14ac:dyDescent="0.25">
      <c r="A832" s="5">
        <v>831</v>
      </c>
      <c r="B832" s="5" t="s">
        <v>91</v>
      </c>
      <c r="C832" s="5" t="s">
        <v>83</v>
      </c>
      <c r="D832" s="5" t="s">
        <v>35</v>
      </c>
      <c r="E832" s="5" t="s">
        <v>991</v>
      </c>
      <c r="F832" s="5" t="s">
        <v>1094</v>
      </c>
      <c r="G832" s="5">
        <v>7038954492</v>
      </c>
      <c r="H832" s="5" t="s">
        <v>1267</v>
      </c>
      <c r="I832" s="5" t="s">
        <v>247</v>
      </c>
      <c r="J832" s="5" t="s">
        <v>80</v>
      </c>
      <c r="K832" s="5" t="s">
        <v>994</v>
      </c>
      <c r="L832" s="6">
        <v>39350</v>
      </c>
    </row>
    <row r="833" spans="1:12" x14ac:dyDescent="0.25">
      <c r="A833" s="5">
        <v>832</v>
      </c>
      <c r="B833" s="5" t="s">
        <v>108</v>
      </c>
      <c r="C833" s="5" t="s">
        <v>83</v>
      </c>
      <c r="D833" s="5" t="s">
        <v>35</v>
      </c>
      <c r="E833" s="5" t="s">
        <v>984</v>
      </c>
      <c r="F833" s="5" t="s">
        <v>1168</v>
      </c>
      <c r="G833" s="5">
        <v>7754057050</v>
      </c>
      <c r="H833" s="5" t="s">
        <v>1049</v>
      </c>
      <c r="I833" s="5" t="s">
        <v>247</v>
      </c>
      <c r="J833" s="5" t="s">
        <v>80</v>
      </c>
      <c r="K833" s="5" t="s">
        <v>972</v>
      </c>
      <c r="L833" s="6">
        <v>39097</v>
      </c>
    </row>
    <row r="834" spans="1:12" x14ac:dyDescent="0.25">
      <c r="A834" s="5">
        <v>833</v>
      </c>
      <c r="B834" s="5" t="s">
        <v>91</v>
      </c>
      <c r="C834" s="5" t="s">
        <v>75</v>
      </c>
      <c r="D834" s="5" t="s">
        <v>35</v>
      </c>
      <c r="E834" s="5" t="s">
        <v>977</v>
      </c>
      <c r="F834" s="5" t="s">
        <v>1094</v>
      </c>
      <c r="G834" s="5">
        <v>7312161135</v>
      </c>
      <c r="H834" s="5" t="s">
        <v>1343</v>
      </c>
      <c r="I834" s="5" t="s">
        <v>247</v>
      </c>
      <c r="J834" s="5" t="s">
        <v>80</v>
      </c>
      <c r="K834" s="5" t="s">
        <v>972</v>
      </c>
      <c r="L834" s="6">
        <v>39120</v>
      </c>
    </row>
    <row r="835" spans="1:12" x14ac:dyDescent="0.25">
      <c r="A835" s="5">
        <v>834</v>
      </c>
      <c r="B835" s="5" t="s">
        <v>6</v>
      </c>
      <c r="C835" s="5" t="s">
        <v>75</v>
      </c>
      <c r="D835" s="5" t="s">
        <v>35</v>
      </c>
      <c r="E835" s="5" t="s">
        <v>995</v>
      </c>
      <c r="F835" s="5" t="s">
        <v>970</v>
      </c>
      <c r="G835" s="5">
        <v>9162598648</v>
      </c>
      <c r="H835" s="5" t="s">
        <v>1344</v>
      </c>
      <c r="I835" s="5" t="s">
        <v>247</v>
      </c>
      <c r="J835" s="5" t="s">
        <v>80</v>
      </c>
      <c r="K835" s="5" t="s">
        <v>998</v>
      </c>
      <c r="L835" s="6">
        <v>39382</v>
      </c>
    </row>
    <row r="836" spans="1:12" x14ac:dyDescent="0.25">
      <c r="A836" s="5">
        <v>835</v>
      </c>
      <c r="B836" s="5" t="s">
        <v>527</v>
      </c>
      <c r="C836" s="5" t="s">
        <v>75</v>
      </c>
      <c r="D836" s="5" t="s">
        <v>35</v>
      </c>
      <c r="E836" s="5" t="s">
        <v>984</v>
      </c>
      <c r="F836" s="5" t="s">
        <v>1345</v>
      </c>
      <c r="G836" s="5">
        <v>6265866373</v>
      </c>
      <c r="H836" s="5" t="s">
        <v>1070</v>
      </c>
      <c r="I836" s="5" t="s">
        <v>247</v>
      </c>
      <c r="J836" s="5" t="s">
        <v>80</v>
      </c>
      <c r="K836" s="5" t="s">
        <v>972</v>
      </c>
      <c r="L836" s="6">
        <v>39241</v>
      </c>
    </row>
    <row r="837" spans="1:12" x14ac:dyDescent="0.25">
      <c r="A837" s="5">
        <v>836</v>
      </c>
      <c r="B837" s="5" t="s">
        <v>130</v>
      </c>
      <c r="C837" s="5" t="s">
        <v>83</v>
      </c>
      <c r="D837" s="5" t="s">
        <v>35</v>
      </c>
      <c r="E837" s="5" t="s">
        <v>991</v>
      </c>
      <c r="F837" s="5" t="s">
        <v>1037</v>
      </c>
      <c r="G837" s="5">
        <v>9911950376</v>
      </c>
      <c r="H837" s="5" t="s">
        <v>1254</v>
      </c>
      <c r="I837" s="5" t="s">
        <v>247</v>
      </c>
      <c r="J837" s="5" t="s">
        <v>80</v>
      </c>
      <c r="K837" s="5" t="s">
        <v>994</v>
      </c>
      <c r="L837" s="6">
        <v>39157</v>
      </c>
    </row>
    <row r="838" spans="1:12" x14ac:dyDescent="0.25">
      <c r="A838" s="5">
        <v>837</v>
      </c>
      <c r="B838" s="5" t="s">
        <v>108</v>
      </c>
      <c r="C838" s="5" t="s">
        <v>75</v>
      </c>
      <c r="D838" s="5" t="s">
        <v>35</v>
      </c>
      <c r="E838" s="5" t="s">
        <v>1008</v>
      </c>
      <c r="F838" s="5" t="s">
        <v>1168</v>
      </c>
      <c r="G838" s="5">
        <v>8999219863</v>
      </c>
      <c r="H838" s="5" t="s">
        <v>1346</v>
      </c>
      <c r="I838" s="5" t="s">
        <v>247</v>
      </c>
      <c r="J838" s="5" t="s">
        <v>80</v>
      </c>
      <c r="K838" s="5" t="s">
        <v>998</v>
      </c>
      <c r="L838" s="6">
        <v>39284</v>
      </c>
    </row>
    <row r="839" spans="1:12" x14ac:dyDescent="0.25">
      <c r="A839" s="5">
        <v>838</v>
      </c>
      <c r="B839" s="5" t="s">
        <v>174</v>
      </c>
      <c r="C839" s="5" t="s">
        <v>83</v>
      </c>
      <c r="D839" s="5" t="s">
        <v>35</v>
      </c>
      <c r="E839" s="5" t="s">
        <v>1011</v>
      </c>
      <c r="F839" s="5" t="s">
        <v>1140</v>
      </c>
      <c r="G839" s="5">
        <v>9631556601</v>
      </c>
      <c r="H839" s="5" t="s">
        <v>1271</v>
      </c>
      <c r="I839" s="5" t="s">
        <v>247</v>
      </c>
      <c r="J839" s="5" t="s">
        <v>80</v>
      </c>
      <c r="K839" s="5" t="s">
        <v>994</v>
      </c>
      <c r="L839" s="6">
        <v>39195</v>
      </c>
    </row>
    <row r="840" spans="1:12" x14ac:dyDescent="0.25">
      <c r="A840" s="5">
        <v>839</v>
      </c>
      <c r="B840" s="5" t="s">
        <v>537</v>
      </c>
      <c r="C840" s="5" t="s">
        <v>75</v>
      </c>
      <c r="D840" s="5" t="s">
        <v>35</v>
      </c>
      <c r="E840" s="5" t="s">
        <v>467</v>
      </c>
      <c r="F840" s="5" t="s">
        <v>1181</v>
      </c>
      <c r="G840" s="5">
        <v>6240673990</v>
      </c>
      <c r="H840" s="5" t="s">
        <v>1347</v>
      </c>
      <c r="I840" s="5" t="s">
        <v>247</v>
      </c>
      <c r="J840" s="5" t="s">
        <v>80</v>
      </c>
      <c r="K840" s="5" t="s">
        <v>400</v>
      </c>
      <c r="L840" s="6">
        <v>39215</v>
      </c>
    </row>
    <row r="841" spans="1:12" x14ac:dyDescent="0.25">
      <c r="A841" s="5">
        <v>840</v>
      </c>
      <c r="B841" s="5" t="s">
        <v>297</v>
      </c>
      <c r="C841" s="5" t="s">
        <v>83</v>
      </c>
      <c r="D841" s="5" t="s">
        <v>35</v>
      </c>
      <c r="E841" s="5" t="s">
        <v>991</v>
      </c>
      <c r="F841" s="5" t="s">
        <v>1214</v>
      </c>
      <c r="G841" s="5">
        <v>7575524760</v>
      </c>
      <c r="H841" s="5" t="s">
        <v>1348</v>
      </c>
      <c r="I841" s="5" t="s">
        <v>247</v>
      </c>
      <c r="J841" s="5" t="s">
        <v>80</v>
      </c>
      <c r="K841" s="5" t="s">
        <v>994</v>
      </c>
      <c r="L841" s="6">
        <v>39203</v>
      </c>
    </row>
    <row r="842" spans="1:12" x14ac:dyDescent="0.25">
      <c r="A842" s="5">
        <v>841</v>
      </c>
      <c r="B842" s="5" t="s">
        <v>236</v>
      </c>
      <c r="C842" s="5" t="s">
        <v>75</v>
      </c>
      <c r="D842" s="5" t="s">
        <v>35</v>
      </c>
      <c r="E842" s="5" t="s">
        <v>397</v>
      </c>
      <c r="F842" s="5" t="s">
        <v>1285</v>
      </c>
      <c r="G842" s="5">
        <v>7806148688</v>
      </c>
      <c r="H842" s="5" t="s">
        <v>1349</v>
      </c>
      <c r="I842" s="5" t="s">
        <v>247</v>
      </c>
      <c r="J842" s="5" t="s">
        <v>159</v>
      </c>
      <c r="K842" s="5" t="s">
        <v>400</v>
      </c>
      <c r="L842" s="6">
        <v>39088</v>
      </c>
    </row>
    <row r="843" spans="1:12" x14ac:dyDescent="0.25">
      <c r="A843" s="5">
        <v>842</v>
      </c>
      <c r="B843" s="5" t="s">
        <v>98</v>
      </c>
      <c r="C843" s="5" t="s">
        <v>75</v>
      </c>
      <c r="D843" s="5" t="s">
        <v>35</v>
      </c>
      <c r="E843" s="5" t="s">
        <v>991</v>
      </c>
      <c r="F843" s="5" t="s">
        <v>978</v>
      </c>
      <c r="G843" s="5">
        <v>9851126753</v>
      </c>
      <c r="H843" s="5" t="s">
        <v>1350</v>
      </c>
      <c r="I843" s="5" t="s">
        <v>247</v>
      </c>
      <c r="J843" s="5" t="s">
        <v>80</v>
      </c>
      <c r="K843" s="5" t="s">
        <v>994</v>
      </c>
      <c r="L843" s="6">
        <v>39222</v>
      </c>
    </row>
    <row r="844" spans="1:12" x14ac:dyDescent="0.25">
      <c r="A844" s="5">
        <v>843</v>
      </c>
      <c r="B844" s="5" t="s">
        <v>141</v>
      </c>
      <c r="C844" s="5" t="s">
        <v>83</v>
      </c>
      <c r="D844" s="5" t="s">
        <v>35</v>
      </c>
      <c r="E844" s="5" t="s">
        <v>1008</v>
      </c>
      <c r="F844" s="5" t="s">
        <v>1158</v>
      </c>
      <c r="G844" s="5">
        <v>6434862723</v>
      </c>
      <c r="H844" s="5" t="s">
        <v>1039</v>
      </c>
      <c r="I844" s="5" t="s">
        <v>247</v>
      </c>
      <c r="J844" s="5" t="s">
        <v>80</v>
      </c>
      <c r="K844" s="5" t="s">
        <v>998</v>
      </c>
      <c r="L844" s="6">
        <v>39444</v>
      </c>
    </row>
    <row r="845" spans="1:12" x14ac:dyDescent="0.25">
      <c r="A845" s="5">
        <v>844</v>
      </c>
      <c r="B845" s="5" t="s">
        <v>748</v>
      </c>
      <c r="C845" s="5" t="s">
        <v>75</v>
      </c>
      <c r="D845" s="5" t="s">
        <v>35</v>
      </c>
      <c r="E845" s="5" t="s">
        <v>995</v>
      </c>
      <c r="F845" s="5" t="s">
        <v>1082</v>
      </c>
      <c r="G845" s="5">
        <v>7417011106</v>
      </c>
      <c r="H845" s="5" t="s">
        <v>1238</v>
      </c>
      <c r="I845" s="5" t="s">
        <v>247</v>
      </c>
      <c r="J845" s="5" t="s">
        <v>129</v>
      </c>
      <c r="K845" s="5" t="s">
        <v>998</v>
      </c>
      <c r="L845" s="6">
        <v>39154</v>
      </c>
    </row>
    <row r="846" spans="1:12" x14ac:dyDescent="0.25">
      <c r="A846" s="5">
        <v>845</v>
      </c>
      <c r="B846" s="5" t="s">
        <v>600</v>
      </c>
      <c r="C846" s="5" t="s">
        <v>83</v>
      </c>
      <c r="D846" s="5" t="s">
        <v>35</v>
      </c>
      <c r="E846" s="5" t="s">
        <v>403</v>
      </c>
      <c r="F846" s="5" t="s">
        <v>1121</v>
      </c>
      <c r="G846" s="5">
        <v>6113029228</v>
      </c>
      <c r="H846" s="5" t="s">
        <v>1351</v>
      </c>
      <c r="I846" s="5" t="s">
        <v>247</v>
      </c>
      <c r="J846" s="5" t="s">
        <v>80</v>
      </c>
      <c r="K846" s="5" t="s">
        <v>400</v>
      </c>
      <c r="L846" s="6">
        <v>39212</v>
      </c>
    </row>
    <row r="847" spans="1:12" x14ac:dyDescent="0.25">
      <c r="A847" s="5">
        <v>846</v>
      </c>
      <c r="B847" s="5" t="s">
        <v>762</v>
      </c>
      <c r="C847" s="5" t="s">
        <v>83</v>
      </c>
      <c r="D847" s="5" t="s">
        <v>35</v>
      </c>
      <c r="E847" s="5" t="s">
        <v>109</v>
      </c>
      <c r="F847" s="5" t="s">
        <v>1108</v>
      </c>
      <c r="G847" s="5">
        <v>6898303702</v>
      </c>
      <c r="H847" s="5" t="s">
        <v>1067</v>
      </c>
      <c r="I847" s="5" t="s">
        <v>247</v>
      </c>
      <c r="J847" s="5" t="s">
        <v>80</v>
      </c>
      <c r="K847" s="5" t="s">
        <v>81</v>
      </c>
      <c r="L847" s="6">
        <v>39402</v>
      </c>
    </row>
    <row r="848" spans="1:12" x14ac:dyDescent="0.25">
      <c r="A848" s="5">
        <v>847</v>
      </c>
      <c r="B848" s="5" t="s">
        <v>155</v>
      </c>
      <c r="C848" s="5" t="s">
        <v>83</v>
      </c>
      <c r="D848" s="5" t="s">
        <v>35</v>
      </c>
      <c r="E848" s="5" t="s">
        <v>991</v>
      </c>
      <c r="F848" s="5" t="s">
        <v>1212</v>
      </c>
      <c r="G848" s="5">
        <v>8663193050</v>
      </c>
      <c r="H848" s="5" t="s">
        <v>1352</v>
      </c>
      <c r="I848" s="5" t="s">
        <v>247</v>
      </c>
      <c r="J848" s="5" t="s">
        <v>80</v>
      </c>
      <c r="K848" s="5" t="s">
        <v>994</v>
      </c>
      <c r="L848" s="6">
        <v>39379</v>
      </c>
    </row>
    <row r="849" spans="1:12" x14ac:dyDescent="0.25">
      <c r="A849" s="5">
        <v>848</v>
      </c>
      <c r="B849" s="5" t="s">
        <v>1042</v>
      </c>
      <c r="C849" s="5" t="s">
        <v>83</v>
      </c>
      <c r="D849" s="5" t="s">
        <v>35</v>
      </c>
      <c r="E849" s="5" t="s">
        <v>1011</v>
      </c>
      <c r="F849" s="5" t="s">
        <v>1043</v>
      </c>
      <c r="G849" s="5">
        <v>9383501472</v>
      </c>
      <c r="H849" s="5" t="s">
        <v>1245</v>
      </c>
      <c r="I849" s="5" t="s">
        <v>247</v>
      </c>
      <c r="J849" s="5" t="s">
        <v>80</v>
      </c>
      <c r="K849" s="5" t="s">
        <v>994</v>
      </c>
      <c r="L849" s="6">
        <v>39088</v>
      </c>
    </row>
    <row r="850" spans="1:12" x14ac:dyDescent="0.25">
      <c r="A850" s="5">
        <v>849</v>
      </c>
      <c r="B850" s="5" t="s">
        <v>82</v>
      </c>
      <c r="C850" s="5" t="s">
        <v>75</v>
      </c>
      <c r="D850" s="5" t="s">
        <v>35</v>
      </c>
      <c r="E850" s="5" t="s">
        <v>92</v>
      </c>
      <c r="F850" s="5" t="s">
        <v>1063</v>
      </c>
      <c r="G850" s="5">
        <v>7907842895</v>
      </c>
      <c r="H850" s="5" t="s">
        <v>1033</v>
      </c>
      <c r="I850" s="5" t="s">
        <v>247</v>
      </c>
      <c r="J850" s="5" t="s">
        <v>80</v>
      </c>
      <c r="K850" s="5" t="s">
        <v>81</v>
      </c>
      <c r="L850" s="6">
        <v>39125</v>
      </c>
    </row>
    <row r="851" spans="1:12" x14ac:dyDescent="0.25">
      <c r="A851" s="5">
        <v>850</v>
      </c>
      <c r="B851" s="5" t="s">
        <v>141</v>
      </c>
      <c r="C851" s="5" t="s">
        <v>83</v>
      </c>
      <c r="D851" s="5" t="s">
        <v>35</v>
      </c>
      <c r="E851" s="5" t="s">
        <v>438</v>
      </c>
      <c r="F851" s="5" t="s">
        <v>1158</v>
      </c>
      <c r="G851" s="5">
        <v>6913003320</v>
      </c>
      <c r="H851" s="5" t="s">
        <v>971</v>
      </c>
      <c r="I851" s="5" t="s">
        <v>247</v>
      </c>
      <c r="J851" s="5" t="s">
        <v>80</v>
      </c>
      <c r="K851" s="5" t="s">
        <v>400</v>
      </c>
      <c r="L851" s="6">
        <v>39160</v>
      </c>
    </row>
    <row r="852" spans="1:12" x14ac:dyDescent="0.25">
      <c r="A852" s="5">
        <v>851</v>
      </c>
      <c r="B852" s="5" t="s">
        <v>108</v>
      </c>
      <c r="C852" s="5" t="s">
        <v>75</v>
      </c>
      <c r="D852" s="5" t="s">
        <v>35</v>
      </c>
      <c r="E852" s="5" t="s">
        <v>126</v>
      </c>
      <c r="F852" s="5" t="s">
        <v>1168</v>
      </c>
      <c r="G852" s="5">
        <v>9816339504</v>
      </c>
      <c r="H852" s="5" t="s">
        <v>1338</v>
      </c>
      <c r="I852" s="5" t="s">
        <v>247</v>
      </c>
      <c r="J852" s="5" t="s">
        <v>80</v>
      </c>
      <c r="K852" s="5" t="s">
        <v>90</v>
      </c>
      <c r="L852" s="6">
        <v>39137</v>
      </c>
    </row>
    <row r="853" spans="1:12" x14ac:dyDescent="0.25">
      <c r="A853" s="5">
        <v>852</v>
      </c>
      <c r="B853" s="5" t="s">
        <v>537</v>
      </c>
      <c r="C853" s="5" t="s">
        <v>83</v>
      </c>
      <c r="D853" s="5" t="s">
        <v>35</v>
      </c>
      <c r="E853" s="5" t="s">
        <v>1016</v>
      </c>
      <c r="F853" s="5" t="s">
        <v>1181</v>
      </c>
      <c r="G853" s="5">
        <v>6145658461</v>
      </c>
      <c r="H853" s="5" t="s">
        <v>1073</v>
      </c>
      <c r="I853" s="5" t="s">
        <v>247</v>
      </c>
      <c r="J853" s="5" t="s">
        <v>129</v>
      </c>
      <c r="K853" s="5" t="s">
        <v>998</v>
      </c>
      <c r="L853" s="6">
        <v>39200</v>
      </c>
    </row>
    <row r="854" spans="1:12" x14ac:dyDescent="0.25">
      <c r="A854" s="5">
        <v>853</v>
      </c>
      <c r="B854" s="5" t="s">
        <v>732</v>
      </c>
      <c r="C854" s="5" t="s">
        <v>75</v>
      </c>
      <c r="D854" s="5" t="s">
        <v>35</v>
      </c>
      <c r="E854" s="5" t="s">
        <v>977</v>
      </c>
      <c r="F854" s="5" t="s">
        <v>1115</v>
      </c>
      <c r="G854" s="5">
        <v>9908702697</v>
      </c>
      <c r="H854" s="5" t="s">
        <v>1039</v>
      </c>
      <c r="I854" s="5" t="s">
        <v>247</v>
      </c>
      <c r="J854" s="5" t="s">
        <v>80</v>
      </c>
      <c r="K854" s="5" t="s">
        <v>972</v>
      </c>
      <c r="L854" s="6">
        <v>39317</v>
      </c>
    </row>
    <row r="855" spans="1:12" x14ac:dyDescent="0.25">
      <c r="A855" s="5">
        <v>854</v>
      </c>
      <c r="B855" s="5" t="s">
        <v>450</v>
      </c>
      <c r="C855" s="5" t="s">
        <v>83</v>
      </c>
      <c r="D855" s="5" t="s">
        <v>35</v>
      </c>
      <c r="E855" s="5" t="s">
        <v>76</v>
      </c>
      <c r="F855" s="5" t="s">
        <v>1224</v>
      </c>
      <c r="G855" s="5">
        <v>9116033710</v>
      </c>
      <c r="H855" s="5" t="s">
        <v>1353</v>
      </c>
      <c r="I855" s="5" t="s">
        <v>247</v>
      </c>
      <c r="J855" s="5" t="s">
        <v>80</v>
      </c>
      <c r="K855" s="5" t="s">
        <v>81</v>
      </c>
      <c r="L855" s="6">
        <v>39093</v>
      </c>
    </row>
    <row r="856" spans="1:12" x14ac:dyDescent="0.25">
      <c r="A856" s="5">
        <v>855</v>
      </c>
      <c r="B856" s="5" t="s">
        <v>486</v>
      </c>
      <c r="C856" s="5" t="s">
        <v>75</v>
      </c>
      <c r="D856" s="5" t="s">
        <v>35</v>
      </c>
      <c r="E856" s="5" t="s">
        <v>1016</v>
      </c>
      <c r="F856" s="5" t="s">
        <v>982</v>
      </c>
      <c r="G856" s="5">
        <v>7565543026</v>
      </c>
      <c r="H856" s="5" t="s">
        <v>1249</v>
      </c>
      <c r="I856" s="5" t="s">
        <v>247</v>
      </c>
      <c r="J856" s="5" t="s">
        <v>129</v>
      </c>
      <c r="K856" s="5" t="s">
        <v>998</v>
      </c>
      <c r="L856" s="6">
        <v>39173</v>
      </c>
    </row>
    <row r="857" spans="1:12" x14ac:dyDescent="0.25">
      <c r="A857" s="5">
        <v>856</v>
      </c>
      <c r="B857" s="5" t="s">
        <v>282</v>
      </c>
      <c r="C857" s="5" t="s">
        <v>75</v>
      </c>
      <c r="D857" s="5" t="s">
        <v>35</v>
      </c>
      <c r="E857" s="5" t="s">
        <v>126</v>
      </c>
      <c r="F857" s="5" t="s">
        <v>1226</v>
      </c>
      <c r="G857" s="5">
        <v>6352055554</v>
      </c>
      <c r="H857" s="5" t="s">
        <v>1073</v>
      </c>
      <c r="I857" s="5" t="s">
        <v>247</v>
      </c>
      <c r="J857" s="5" t="s">
        <v>129</v>
      </c>
      <c r="K857" s="5" t="s">
        <v>90</v>
      </c>
      <c r="L857" s="6">
        <v>39214</v>
      </c>
    </row>
    <row r="858" spans="1:12" x14ac:dyDescent="0.25">
      <c r="A858" s="5">
        <v>857</v>
      </c>
      <c r="B858" s="5" t="s">
        <v>228</v>
      </c>
      <c r="C858" s="5" t="s">
        <v>83</v>
      </c>
      <c r="D858" s="5" t="s">
        <v>35</v>
      </c>
      <c r="E858" s="5" t="s">
        <v>1016</v>
      </c>
      <c r="F858" s="5" t="s">
        <v>1046</v>
      </c>
      <c r="G858" s="5">
        <v>8838378634</v>
      </c>
      <c r="H858" s="5" t="s">
        <v>1089</v>
      </c>
      <c r="I858" s="5" t="s">
        <v>247</v>
      </c>
      <c r="J858" s="5" t="s">
        <v>112</v>
      </c>
      <c r="K858" s="5" t="s">
        <v>998</v>
      </c>
      <c r="L858" s="6">
        <v>39238</v>
      </c>
    </row>
    <row r="859" spans="1:12" x14ac:dyDescent="0.25">
      <c r="A859" s="5">
        <v>858</v>
      </c>
      <c r="B859" s="5" t="s">
        <v>612</v>
      </c>
      <c r="C859" s="5" t="s">
        <v>83</v>
      </c>
      <c r="D859" s="5" t="s">
        <v>35</v>
      </c>
      <c r="E859" s="5" t="s">
        <v>1016</v>
      </c>
      <c r="F859" s="5" t="s">
        <v>1272</v>
      </c>
      <c r="G859" s="5">
        <v>7809640064</v>
      </c>
      <c r="H859" s="5" t="s">
        <v>1354</v>
      </c>
      <c r="I859" s="5" t="s">
        <v>247</v>
      </c>
      <c r="J859" s="5" t="s">
        <v>80</v>
      </c>
      <c r="K859" s="5" t="s">
        <v>998</v>
      </c>
      <c r="L859" s="6">
        <v>39286</v>
      </c>
    </row>
    <row r="860" spans="1:12" x14ac:dyDescent="0.25">
      <c r="A860" s="5">
        <v>859</v>
      </c>
      <c r="B860" s="5" t="s">
        <v>540</v>
      </c>
      <c r="C860" s="5" t="s">
        <v>83</v>
      </c>
      <c r="D860" s="5" t="s">
        <v>35</v>
      </c>
      <c r="E860" s="5" t="s">
        <v>1016</v>
      </c>
      <c r="F860" s="5" t="s">
        <v>1193</v>
      </c>
      <c r="G860" s="5">
        <v>8119375660</v>
      </c>
      <c r="H860" s="5" t="s">
        <v>1269</v>
      </c>
      <c r="I860" s="5" t="s">
        <v>247</v>
      </c>
      <c r="J860" s="5" t="s">
        <v>80</v>
      </c>
      <c r="K860" s="5" t="s">
        <v>998</v>
      </c>
      <c r="L860" s="6">
        <v>39423</v>
      </c>
    </row>
    <row r="861" spans="1:12" x14ac:dyDescent="0.25">
      <c r="A861" s="5">
        <v>860</v>
      </c>
      <c r="B861" s="5" t="s">
        <v>74</v>
      </c>
      <c r="C861" s="5" t="s">
        <v>75</v>
      </c>
      <c r="D861" s="5" t="s">
        <v>35</v>
      </c>
      <c r="E861" s="5" t="s">
        <v>109</v>
      </c>
      <c r="F861" s="5" t="s">
        <v>1035</v>
      </c>
      <c r="G861" s="5">
        <v>9757352480</v>
      </c>
      <c r="H861" s="5" t="s">
        <v>1355</v>
      </c>
      <c r="I861" s="5" t="s">
        <v>247</v>
      </c>
      <c r="J861" s="5" t="s">
        <v>80</v>
      </c>
      <c r="K861" s="5" t="s">
        <v>81</v>
      </c>
      <c r="L861" s="6">
        <v>39158</v>
      </c>
    </row>
    <row r="862" spans="1:12" x14ac:dyDescent="0.25">
      <c r="A862" s="5">
        <v>861</v>
      </c>
      <c r="B862" s="5" t="s">
        <v>630</v>
      </c>
      <c r="C862" s="5" t="s">
        <v>75</v>
      </c>
      <c r="D862" s="5" t="s">
        <v>35</v>
      </c>
      <c r="E862" s="5" t="s">
        <v>969</v>
      </c>
      <c r="F862" s="5" t="s">
        <v>1144</v>
      </c>
      <c r="G862" s="5">
        <v>7528571585</v>
      </c>
      <c r="H862" s="5" t="s">
        <v>1132</v>
      </c>
      <c r="I862" s="5" t="s">
        <v>247</v>
      </c>
      <c r="J862" s="5" t="s">
        <v>129</v>
      </c>
      <c r="K862" s="5" t="s">
        <v>972</v>
      </c>
      <c r="L862" s="6">
        <v>39285</v>
      </c>
    </row>
    <row r="863" spans="1:12" x14ac:dyDescent="0.25">
      <c r="A863" s="5">
        <v>862</v>
      </c>
      <c r="B863" s="5" t="s">
        <v>550</v>
      </c>
      <c r="C863" s="5" t="s">
        <v>75</v>
      </c>
      <c r="D863" s="5" t="s">
        <v>35</v>
      </c>
      <c r="E863" s="5" t="s">
        <v>995</v>
      </c>
      <c r="F863" s="5" t="s">
        <v>1076</v>
      </c>
      <c r="G863" s="5">
        <v>6504393938</v>
      </c>
      <c r="H863" s="5" t="s">
        <v>993</v>
      </c>
      <c r="I863" s="5" t="s">
        <v>247</v>
      </c>
      <c r="J863" s="5" t="s">
        <v>80</v>
      </c>
      <c r="K863" s="5" t="s">
        <v>998</v>
      </c>
      <c r="L863" s="6">
        <v>39249</v>
      </c>
    </row>
    <row r="864" spans="1:12" x14ac:dyDescent="0.25">
      <c r="A864" s="5">
        <v>863</v>
      </c>
      <c r="B864" s="5" t="s">
        <v>276</v>
      </c>
      <c r="C864" s="5" t="s">
        <v>75</v>
      </c>
      <c r="D864" s="5" t="s">
        <v>62</v>
      </c>
      <c r="E864" s="5" t="s">
        <v>292</v>
      </c>
      <c r="F864" s="5" t="s">
        <v>1356</v>
      </c>
      <c r="G864" s="5">
        <v>7634355143</v>
      </c>
      <c r="H864" s="5" t="s">
        <v>1357</v>
      </c>
      <c r="I864" s="5" t="s">
        <v>79</v>
      </c>
      <c r="J864" s="5" t="s">
        <v>80</v>
      </c>
      <c r="K864" s="5" t="s">
        <v>288</v>
      </c>
      <c r="L864" s="6">
        <v>37989</v>
      </c>
    </row>
    <row r="865" spans="1:12" x14ac:dyDescent="0.25">
      <c r="A865" s="5">
        <v>864</v>
      </c>
      <c r="B865" s="5" t="s">
        <v>116</v>
      </c>
      <c r="C865" s="5" t="s">
        <v>75</v>
      </c>
      <c r="D865" s="5" t="s">
        <v>62</v>
      </c>
      <c r="E865" s="5" t="s">
        <v>285</v>
      </c>
      <c r="F865" s="5" t="s">
        <v>1358</v>
      </c>
      <c r="G865" s="5">
        <v>6713471484</v>
      </c>
      <c r="H865" s="5" t="s">
        <v>1359</v>
      </c>
      <c r="I865" s="5" t="s">
        <v>79</v>
      </c>
      <c r="J865" s="5" t="s">
        <v>80</v>
      </c>
      <c r="K865" s="5" t="s">
        <v>288</v>
      </c>
      <c r="L865" s="6">
        <v>38334</v>
      </c>
    </row>
    <row r="866" spans="1:12" x14ac:dyDescent="0.25">
      <c r="A866" s="5">
        <v>865</v>
      </c>
      <c r="B866" s="5" t="s">
        <v>218</v>
      </c>
      <c r="C866" s="5" t="s">
        <v>75</v>
      </c>
      <c r="D866" s="5" t="s">
        <v>62</v>
      </c>
      <c r="E866" s="5" t="s">
        <v>285</v>
      </c>
      <c r="F866" s="5" t="s">
        <v>1360</v>
      </c>
      <c r="G866" s="5">
        <v>9461943820</v>
      </c>
      <c r="H866" s="5" t="s">
        <v>1361</v>
      </c>
      <c r="I866" s="5" t="s">
        <v>79</v>
      </c>
      <c r="J866" s="5" t="s">
        <v>80</v>
      </c>
      <c r="K866" s="5" t="s">
        <v>288</v>
      </c>
      <c r="L866" s="6">
        <v>38270</v>
      </c>
    </row>
    <row r="867" spans="1:12" x14ac:dyDescent="0.25">
      <c r="A867" s="5">
        <v>866</v>
      </c>
      <c r="B867" s="5" t="s">
        <v>239</v>
      </c>
      <c r="C867" s="5" t="s">
        <v>83</v>
      </c>
      <c r="D867" s="5" t="s">
        <v>62</v>
      </c>
      <c r="E867" s="5" t="s">
        <v>467</v>
      </c>
      <c r="F867" s="5" t="s">
        <v>1362</v>
      </c>
      <c r="G867" s="5">
        <v>9111521481</v>
      </c>
      <c r="H867" s="5" t="s">
        <v>1363</v>
      </c>
      <c r="I867" s="5" t="s">
        <v>79</v>
      </c>
      <c r="J867" s="5" t="s">
        <v>80</v>
      </c>
      <c r="K867" s="5" t="s">
        <v>400</v>
      </c>
      <c r="L867" s="6">
        <v>38012</v>
      </c>
    </row>
    <row r="868" spans="1:12" x14ac:dyDescent="0.25">
      <c r="A868" s="5">
        <v>867</v>
      </c>
      <c r="B868" s="5" t="s">
        <v>177</v>
      </c>
      <c r="C868" s="5" t="s">
        <v>75</v>
      </c>
      <c r="D868" s="5" t="s">
        <v>62</v>
      </c>
      <c r="E868" s="5" t="s">
        <v>277</v>
      </c>
      <c r="F868" s="5" t="s">
        <v>1364</v>
      </c>
      <c r="G868" s="5">
        <v>6940618095</v>
      </c>
      <c r="H868" s="5" t="s">
        <v>1365</v>
      </c>
      <c r="I868" s="5" t="s">
        <v>79</v>
      </c>
      <c r="J868" s="5" t="s">
        <v>80</v>
      </c>
      <c r="K868" s="5" t="s">
        <v>271</v>
      </c>
      <c r="L868" s="6">
        <v>38317</v>
      </c>
    </row>
    <row r="869" spans="1:12" x14ac:dyDescent="0.25">
      <c r="A869" s="5">
        <v>868</v>
      </c>
      <c r="B869" s="5" t="s">
        <v>357</v>
      </c>
      <c r="C869" s="5" t="s">
        <v>75</v>
      </c>
      <c r="D869" s="5" t="s">
        <v>62</v>
      </c>
      <c r="E869" s="5" t="s">
        <v>403</v>
      </c>
      <c r="F869" s="5" t="s">
        <v>1366</v>
      </c>
      <c r="G869" s="5">
        <v>6679683677</v>
      </c>
      <c r="H869" s="5" t="s">
        <v>1367</v>
      </c>
      <c r="I869" s="5" t="s">
        <v>79</v>
      </c>
      <c r="J869" s="5" t="s">
        <v>159</v>
      </c>
      <c r="K869" s="5" t="s">
        <v>400</v>
      </c>
      <c r="L869" s="6">
        <v>38254</v>
      </c>
    </row>
    <row r="870" spans="1:12" x14ac:dyDescent="0.25">
      <c r="A870" s="5">
        <v>869</v>
      </c>
      <c r="B870" s="5" t="s">
        <v>122</v>
      </c>
      <c r="C870" s="5" t="s">
        <v>75</v>
      </c>
      <c r="D870" s="5" t="s">
        <v>62</v>
      </c>
      <c r="E870" s="5" t="s">
        <v>438</v>
      </c>
      <c r="F870" s="5" t="s">
        <v>1368</v>
      </c>
      <c r="G870" s="5">
        <v>6104978706</v>
      </c>
      <c r="H870" s="5" t="s">
        <v>1369</v>
      </c>
      <c r="I870" s="5" t="s">
        <v>79</v>
      </c>
      <c r="J870" s="5" t="s">
        <v>80</v>
      </c>
      <c r="K870" s="5" t="s">
        <v>400</v>
      </c>
      <c r="L870" s="6">
        <v>38340</v>
      </c>
    </row>
    <row r="871" spans="1:12" x14ac:dyDescent="0.25">
      <c r="A871" s="5">
        <v>870</v>
      </c>
      <c r="B871" s="5" t="s">
        <v>208</v>
      </c>
      <c r="C871" s="5" t="s">
        <v>83</v>
      </c>
      <c r="D871" s="5" t="s">
        <v>62</v>
      </c>
      <c r="E871" s="5" t="s">
        <v>438</v>
      </c>
      <c r="F871" s="5" t="s">
        <v>1370</v>
      </c>
      <c r="G871" s="5">
        <v>8140953311</v>
      </c>
      <c r="H871" s="5" t="s">
        <v>1371</v>
      </c>
      <c r="I871" s="5" t="s">
        <v>79</v>
      </c>
      <c r="J871" s="5" t="s">
        <v>80</v>
      </c>
      <c r="K871" s="5" t="s">
        <v>400</v>
      </c>
      <c r="L871" s="6">
        <v>38316</v>
      </c>
    </row>
    <row r="872" spans="1:12" x14ac:dyDescent="0.25">
      <c r="A872" s="5">
        <v>871</v>
      </c>
      <c r="B872" s="5" t="s">
        <v>134</v>
      </c>
      <c r="C872" s="5" t="s">
        <v>75</v>
      </c>
      <c r="D872" s="5" t="s">
        <v>62</v>
      </c>
      <c r="E872" s="5" t="s">
        <v>438</v>
      </c>
      <c r="F872" s="5" t="s">
        <v>1372</v>
      </c>
      <c r="G872" s="5">
        <v>9048913699</v>
      </c>
      <c r="H872" s="5" t="s">
        <v>1369</v>
      </c>
      <c r="I872" s="5" t="s">
        <v>79</v>
      </c>
      <c r="J872" s="5" t="s">
        <v>80</v>
      </c>
      <c r="K872" s="5" t="s">
        <v>400</v>
      </c>
      <c r="L872" s="6">
        <v>38163</v>
      </c>
    </row>
    <row r="873" spans="1:12" x14ac:dyDescent="0.25">
      <c r="A873" s="5">
        <v>872</v>
      </c>
      <c r="B873" s="5" t="s">
        <v>486</v>
      </c>
      <c r="C873" s="5" t="s">
        <v>83</v>
      </c>
      <c r="D873" s="5" t="s">
        <v>62</v>
      </c>
      <c r="E873" s="5" t="s">
        <v>268</v>
      </c>
      <c r="F873" s="5" t="s">
        <v>1373</v>
      </c>
      <c r="G873" s="5">
        <v>9095056375</v>
      </c>
      <c r="H873" s="5" t="s">
        <v>1374</v>
      </c>
      <c r="I873" s="5" t="s">
        <v>79</v>
      </c>
      <c r="J873" s="5" t="s">
        <v>80</v>
      </c>
      <c r="K873" s="5" t="s">
        <v>271</v>
      </c>
      <c r="L873" s="6">
        <v>38184</v>
      </c>
    </row>
    <row r="874" spans="1:12" x14ac:dyDescent="0.25">
      <c r="A874" s="5">
        <v>873</v>
      </c>
      <c r="B874" s="5" t="s">
        <v>174</v>
      </c>
      <c r="C874" s="5" t="s">
        <v>75</v>
      </c>
      <c r="D874" s="5" t="s">
        <v>62</v>
      </c>
      <c r="E874" s="5" t="s">
        <v>438</v>
      </c>
      <c r="F874" s="5" t="s">
        <v>1375</v>
      </c>
      <c r="G874" s="5">
        <v>7053938548</v>
      </c>
      <c r="H874" s="5" t="s">
        <v>1376</v>
      </c>
      <c r="I874" s="5" t="s">
        <v>79</v>
      </c>
      <c r="J874" s="5" t="s">
        <v>80</v>
      </c>
      <c r="K874" s="5" t="s">
        <v>400</v>
      </c>
      <c r="L874" s="6">
        <v>38030</v>
      </c>
    </row>
    <row r="875" spans="1:12" x14ac:dyDescent="0.25">
      <c r="A875" s="5">
        <v>874</v>
      </c>
      <c r="B875" s="5" t="s">
        <v>74</v>
      </c>
      <c r="C875" s="5" t="s">
        <v>75</v>
      </c>
      <c r="D875" s="5" t="s">
        <v>62</v>
      </c>
      <c r="E875" s="5" t="s">
        <v>438</v>
      </c>
      <c r="F875" s="5" t="s">
        <v>1377</v>
      </c>
      <c r="G875" s="5">
        <v>9334340469</v>
      </c>
      <c r="H875" s="5" t="s">
        <v>1378</v>
      </c>
      <c r="I875" s="5" t="s">
        <v>79</v>
      </c>
      <c r="J875" s="5" t="s">
        <v>80</v>
      </c>
      <c r="K875" s="5" t="s">
        <v>400</v>
      </c>
      <c r="L875" s="6">
        <v>38293</v>
      </c>
    </row>
    <row r="876" spans="1:12" x14ac:dyDescent="0.25">
      <c r="A876" s="5">
        <v>875</v>
      </c>
      <c r="B876" s="5" t="s">
        <v>732</v>
      </c>
      <c r="C876" s="5" t="s">
        <v>75</v>
      </c>
      <c r="D876" s="5" t="s">
        <v>62</v>
      </c>
      <c r="E876" s="5" t="s">
        <v>224</v>
      </c>
      <c r="F876" s="5" t="s">
        <v>1379</v>
      </c>
      <c r="G876" s="5">
        <v>8349355481</v>
      </c>
      <c r="H876" s="5" t="s">
        <v>1380</v>
      </c>
      <c r="I876" s="5" t="s">
        <v>79</v>
      </c>
      <c r="J876" s="5" t="s">
        <v>80</v>
      </c>
      <c r="K876" s="5" t="s">
        <v>105</v>
      </c>
      <c r="L876" s="6">
        <v>38002</v>
      </c>
    </row>
    <row r="877" spans="1:12" x14ac:dyDescent="0.25">
      <c r="A877" s="5">
        <v>876</v>
      </c>
      <c r="B877" s="5" t="s">
        <v>233</v>
      </c>
      <c r="C877" s="5" t="s">
        <v>83</v>
      </c>
      <c r="D877" s="5" t="s">
        <v>62</v>
      </c>
      <c r="E877" s="5" t="s">
        <v>277</v>
      </c>
      <c r="F877" s="5" t="s">
        <v>1381</v>
      </c>
      <c r="G877" s="5">
        <v>6917421266</v>
      </c>
      <c r="H877" s="5" t="s">
        <v>1382</v>
      </c>
      <c r="I877" s="5" t="s">
        <v>79</v>
      </c>
      <c r="J877" s="5" t="s">
        <v>112</v>
      </c>
      <c r="K877" s="5" t="s">
        <v>271</v>
      </c>
      <c r="L877" s="6">
        <v>38227</v>
      </c>
    </row>
    <row r="878" spans="1:12" x14ac:dyDescent="0.25">
      <c r="A878" s="5">
        <v>877</v>
      </c>
      <c r="B878" s="5" t="s">
        <v>641</v>
      </c>
      <c r="C878" s="5" t="s">
        <v>83</v>
      </c>
      <c r="D878" s="5" t="s">
        <v>62</v>
      </c>
      <c r="E878" s="5" t="s">
        <v>397</v>
      </c>
      <c r="F878" s="5" t="s">
        <v>1383</v>
      </c>
      <c r="G878" s="5">
        <v>9985665672</v>
      </c>
      <c r="H878" s="5" t="s">
        <v>1384</v>
      </c>
      <c r="I878" s="5" t="s">
        <v>79</v>
      </c>
      <c r="J878" s="5" t="s">
        <v>129</v>
      </c>
      <c r="K878" s="5" t="s">
        <v>400</v>
      </c>
      <c r="L878" s="6">
        <v>38294</v>
      </c>
    </row>
    <row r="879" spans="1:12" x14ac:dyDescent="0.25">
      <c r="A879" s="5">
        <v>878</v>
      </c>
      <c r="B879" s="5" t="s">
        <v>732</v>
      </c>
      <c r="C879" s="5" t="s">
        <v>83</v>
      </c>
      <c r="D879" s="5" t="s">
        <v>62</v>
      </c>
      <c r="E879" s="5" t="s">
        <v>331</v>
      </c>
      <c r="F879" s="5" t="s">
        <v>1379</v>
      </c>
      <c r="G879" s="5">
        <v>7581963501</v>
      </c>
      <c r="H879" s="5" t="s">
        <v>1385</v>
      </c>
      <c r="I879" s="5" t="s">
        <v>79</v>
      </c>
      <c r="J879" s="5" t="s">
        <v>112</v>
      </c>
      <c r="K879" s="5" t="s">
        <v>271</v>
      </c>
      <c r="L879" s="6">
        <v>38043</v>
      </c>
    </row>
    <row r="880" spans="1:12" x14ac:dyDescent="0.25">
      <c r="A880" s="5">
        <v>879</v>
      </c>
      <c r="B880" s="5" t="s">
        <v>230</v>
      </c>
      <c r="C880" s="5" t="s">
        <v>75</v>
      </c>
      <c r="D880" s="5" t="s">
        <v>62</v>
      </c>
      <c r="E880" s="5" t="s">
        <v>403</v>
      </c>
      <c r="F880" s="5" t="s">
        <v>1386</v>
      </c>
      <c r="G880" s="5">
        <v>9992717801</v>
      </c>
      <c r="H880" s="5" t="s">
        <v>1387</v>
      </c>
      <c r="I880" s="5" t="s">
        <v>79</v>
      </c>
      <c r="J880" s="5" t="s">
        <v>80</v>
      </c>
      <c r="K880" s="5" t="s">
        <v>400</v>
      </c>
      <c r="L880" s="6">
        <v>38152</v>
      </c>
    </row>
    <row r="881" spans="1:12" x14ac:dyDescent="0.25">
      <c r="A881" s="5">
        <v>880</v>
      </c>
      <c r="B881" s="5" t="s">
        <v>600</v>
      </c>
      <c r="C881" s="5" t="s">
        <v>83</v>
      </c>
      <c r="D881" s="5" t="s">
        <v>62</v>
      </c>
      <c r="E881" s="5" t="s">
        <v>285</v>
      </c>
      <c r="F881" s="5" t="s">
        <v>1388</v>
      </c>
      <c r="G881" s="5">
        <v>7825229806</v>
      </c>
      <c r="H881" s="5" t="s">
        <v>1389</v>
      </c>
      <c r="I881" s="5" t="s">
        <v>158</v>
      </c>
      <c r="J881" s="5" t="s">
        <v>80</v>
      </c>
      <c r="K881" s="5" t="s">
        <v>288</v>
      </c>
      <c r="L881" s="6">
        <v>38492</v>
      </c>
    </row>
    <row r="882" spans="1:12" x14ac:dyDescent="0.25">
      <c r="A882" s="5">
        <v>881</v>
      </c>
      <c r="B882" s="5" t="s">
        <v>230</v>
      </c>
      <c r="C882" s="5" t="s">
        <v>83</v>
      </c>
      <c r="D882" s="5" t="s">
        <v>62</v>
      </c>
      <c r="E882" s="5" t="s">
        <v>467</v>
      </c>
      <c r="F882" s="5" t="s">
        <v>1386</v>
      </c>
      <c r="G882" s="5">
        <v>9568386968</v>
      </c>
      <c r="H882" s="5" t="s">
        <v>1390</v>
      </c>
      <c r="I882" s="5" t="s">
        <v>158</v>
      </c>
      <c r="J882" s="5" t="s">
        <v>80</v>
      </c>
      <c r="K882" s="5" t="s">
        <v>400</v>
      </c>
      <c r="L882" s="6">
        <v>38363</v>
      </c>
    </row>
    <row r="883" spans="1:12" x14ac:dyDescent="0.25">
      <c r="A883" s="5">
        <v>882</v>
      </c>
      <c r="B883" s="5" t="s">
        <v>350</v>
      </c>
      <c r="C883" s="5" t="s">
        <v>83</v>
      </c>
      <c r="D883" s="5" t="s">
        <v>62</v>
      </c>
      <c r="E883" s="5" t="s">
        <v>438</v>
      </c>
      <c r="F883" s="5" t="s">
        <v>1391</v>
      </c>
      <c r="G883" s="5">
        <v>9837883298</v>
      </c>
      <c r="H883" s="5" t="s">
        <v>1392</v>
      </c>
      <c r="I883" s="5" t="s">
        <v>158</v>
      </c>
      <c r="J883" s="5" t="s">
        <v>159</v>
      </c>
      <c r="K883" s="5" t="s">
        <v>400</v>
      </c>
      <c r="L883" s="6">
        <v>38544</v>
      </c>
    </row>
    <row r="884" spans="1:12" x14ac:dyDescent="0.25">
      <c r="A884" s="5">
        <v>883</v>
      </c>
      <c r="B884" s="5" t="s">
        <v>108</v>
      </c>
      <c r="C884" s="5" t="s">
        <v>83</v>
      </c>
      <c r="D884" s="5" t="s">
        <v>62</v>
      </c>
      <c r="E884" s="5" t="s">
        <v>285</v>
      </c>
      <c r="F884" s="5" t="s">
        <v>1393</v>
      </c>
      <c r="G884" s="5">
        <v>9239520419</v>
      </c>
      <c r="H884" s="5" t="s">
        <v>1394</v>
      </c>
      <c r="I884" s="5" t="s">
        <v>158</v>
      </c>
      <c r="J884" s="5" t="s">
        <v>80</v>
      </c>
      <c r="K884" s="5" t="s">
        <v>288</v>
      </c>
      <c r="L884" s="6">
        <v>38404</v>
      </c>
    </row>
    <row r="885" spans="1:12" x14ac:dyDescent="0.25">
      <c r="A885" s="5">
        <v>884</v>
      </c>
      <c r="B885" s="5" t="s">
        <v>550</v>
      </c>
      <c r="C885" s="5" t="s">
        <v>75</v>
      </c>
      <c r="D885" s="5" t="s">
        <v>62</v>
      </c>
      <c r="E885" s="5" t="s">
        <v>106</v>
      </c>
      <c r="F885" s="5" t="s">
        <v>1395</v>
      </c>
      <c r="G885" s="5">
        <v>9568142458</v>
      </c>
      <c r="H885" s="5" t="s">
        <v>1396</v>
      </c>
      <c r="I885" s="5" t="s">
        <v>158</v>
      </c>
      <c r="J885" s="5" t="s">
        <v>112</v>
      </c>
      <c r="K885" s="5" t="s">
        <v>105</v>
      </c>
      <c r="L885" s="6">
        <v>38704</v>
      </c>
    </row>
    <row r="886" spans="1:12" x14ac:dyDescent="0.25">
      <c r="A886" s="5">
        <v>885</v>
      </c>
      <c r="B886" s="5" t="s">
        <v>527</v>
      </c>
      <c r="C886" s="5" t="s">
        <v>75</v>
      </c>
      <c r="D886" s="5" t="s">
        <v>62</v>
      </c>
      <c r="E886" s="5" t="s">
        <v>331</v>
      </c>
      <c r="F886" s="5" t="s">
        <v>1397</v>
      </c>
      <c r="G886" s="5">
        <v>8903946449</v>
      </c>
      <c r="H886" s="5" t="s">
        <v>1398</v>
      </c>
      <c r="I886" s="5" t="s">
        <v>158</v>
      </c>
      <c r="J886" s="5" t="s">
        <v>80</v>
      </c>
      <c r="K886" s="5" t="s">
        <v>271</v>
      </c>
      <c r="L886" s="6">
        <v>38543</v>
      </c>
    </row>
    <row r="887" spans="1:12" x14ac:dyDescent="0.25">
      <c r="A887" s="5">
        <v>886</v>
      </c>
      <c r="B887" s="5" t="s">
        <v>151</v>
      </c>
      <c r="C887" s="5" t="s">
        <v>83</v>
      </c>
      <c r="D887" s="5" t="s">
        <v>62</v>
      </c>
      <c r="E887" s="5" t="s">
        <v>351</v>
      </c>
      <c r="F887" s="5" t="s">
        <v>1399</v>
      </c>
      <c r="G887" s="5">
        <v>9385794521</v>
      </c>
      <c r="H887" s="5" t="s">
        <v>1400</v>
      </c>
      <c r="I887" s="5" t="s">
        <v>158</v>
      </c>
      <c r="J887" s="5" t="s">
        <v>80</v>
      </c>
      <c r="K887" s="5" t="s">
        <v>288</v>
      </c>
      <c r="L887" s="6">
        <v>38521</v>
      </c>
    </row>
    <row r="888" spans="1:12" x14ac:dyDescent="0.25">
      <c r="A888" s="5">
        <v>887</v>
      </c>
      <c r="B888" s="5" t="s">
        <v>101</v>
      </c>
      <c r="C888" s="5" t="s">
        <v>75</v>
      </c>
      <c r="D888" s="5" t="s">
        <v>62</v>
      </c>
      <c r="E888" s="5" t="s">
        <v>397</v>
      </c>
      <c r="F888" s="5" t="s">
        <v>1401</v>
      </c>
      <c r="G888" s="5">
        <v>7914178745</v>
      </c>
      <c r="H888" s="5" t="s">
        <v>1402</v>
      </c>
      <c r="I888" s="5" t="s">
        <v>158</v>
      </c>
      <c r="J888" s="5" t="s">
        <v>80</v>
      </c>
      <c r="K888" s="5" t="s">
        <v>400</v>
      </c>
      <c r="L888" s="6">
        <v>38475</v>
      </c>
    </row>
    <row r="889" spans="1:12" x14ac:dyDescent="0.25">
      <c r="A889" s="5">
        <v>888</v>
      </c>
      <c r="B889" s="5" t="s">
        <v>95</v>
      </c>
      <c r="C889" s="5" t="s">
        <v>75</v>
      </c>
      <c r="D889" s="5" t="s">
        <v>62</v>
      </c>
      <c r="E889" s="5" t="s">
        <v>277</v>
      </c>
      <c r="F889" s="5" t="s">
        <v>1403</v>
      </c>
      <c r="G889" s="5">
        <v>8218618049</v>
      </c>
      <c r="H889" s="5" t="s">
        <v>1404</v>
      </c>
      <c r="I889" s="5" t="s">
        <v>158</v>
      </c>
      <c r="J889" s="5" t="s">
        <v>80</v>
      </c>
      <c r="K889" s="5" t="s">
        <v>271</v>
      </c>
      <c r="L889" s="6">
        <v>38549</v>
      </c>
    </row>
    <row r="890" spans="1:12" x14ac:dyDescent="0.25">
      <c r="A890" s="5">
        <v>889</v>
      </c>
      <c r="B890" s="5" t="s">
        <v>491</v>
      </c>
      <c r="C890" s="5" t="s">
        <v>75</v>
      </c>
      <c r="D890" s="5" t="s">
        <v>62</v>
      </c>
      <c r="E890" s="5" t="s">
        <v>331</v>
      </c>
      <c r="F890" s="5" t="s">
        <v>1405</v>
      </c>
      <c r="G890" s="5">
        <v>8131957833</v>
      </c>
      <c r="H890" s="5" t="s">
        <v>1406</v>
      </c>
      <c r="I890" s="5" t="s">
        <v>158</v>
      </c>
      <c r="J890" s="5" t="s">
        <v>80</v>
      </c>
      <c r="K890" s="5" t="s">
        <v>271</v>
      </c>
      <c r="L890" s="6">
        <v>38640</v>
      </c>
    </row>
    <row r="891" spans="1:12" x14ac:dyDescent="0.25">
      <c r="A891" s="5">
        <v>890</v>
      </c>
      <c r="B891" s="5" t="s">
        <v>144</v>
      </c>
      <c r="C891" s="5" t="s">
        <v>75</v>
      </c>
      <c r="D891" s="5" t="s">
        <v>62</v>
      </c>
      <c r="E891" s="5" t="s">
        <v>438</v>
      </c>
      <c r="F891" s="5" t="s">
        <v>1407</v>
      </c>
      <c r="G891" s="5">
        <v>6884223233</v>
      </c>
      <c r="H891" s="5" t="s">
        <v>1408</v>
      </c>
      <c r="I891" s="5" t="s">
        <v>158</v>
      </c>
      <c r="J891" s="5" t="s">
        <v>129</v>
      </c>
      <c r="K891" s="5" t="s">
        <v>400</v>
      </c>
      <c r="L891" s="6">
        <v>38386</v>
      </c>
    </row>
    <row r="892" spans="1:12" x14ac:dyDescent="0.25">
      <c r="A892" s="5">
        <v>891</v>
      </c>
      <c r="B892" s="5" t="s">
        <v>1042</v>
      </c>
      <c r="C892" s="5" t="s">
        <v>75</v>
      </c>
      <c r="D892" s="5" t="s">
        <v>62</v>
      </c>
      <c r="E892" s="5" t="s">
        <v>292</v>
      </c>
      <c r="F892" s="5" t="s">
        <v>1409</v>
      </c>
      <c r="G892" s="5">
        <v>6159982029</v>
      </c>
      <c r="H892" s="5" t="s">
        <v>1410</v>
      </c>
      <c r="I892" s="5" t="s">
        <v>158</v>
      </c>
      <c r="J892" s="5" t="s">
        <v>80</v>
      </c>
      <c r="K892" s="5" t="s">
        <v>288</v>
      </c>
      <c r="L892" s="6">
        <v>38619</v>
      </c>
    </row>
    <row r="893" spans="1:12" x14ac:dyDescent="0.25">
      <c r="A893" s="5">
        <v>892</v>
      </c>
      <c r="B893" s="5" t="s">
        <v>228</v>
      </c>
      <c r="C893" s="5" t="s">
        <v>75</v>
      </c>
      <c r="D893" s="5" t="s">
        <v>62</v>
      </c>
      <c r="E893" s="5" t="s">
        <v>397</v>
      </c>
      <c r="F893" s="5" t="s">
        <v>1411</v>
      </c>
      <c r="G893" s="5">
        <v>7121642224</v>
      </c>
      <c r="H893" s="5" t="s">
        <v>1412</v>
      </c>
      <c r="I893" s="5" t="s">
        <v>158</v>
      </c>
      <c r="J893" s="5" t="s">
        <v>129</v>
      </c>
      <c r="K893" s="5" t="s">
        <v>400</v>
      </c>
      <c r="L893" s="6">
        <v>38496</v>
      </c>
    </row>
    <row r="894" spans="1:12" x14ac:dyDescent="0.25">
      <c r="A894" s="5">
        <v>893</v>
      </c>
      <c r="B894" s="5" t="s">
        <v>317</v>
      </c>
      <c r="C894" s="5" t="s">
        <v>83</v>
      </c>
      <c r="D894" s="5" t="s">
        <v>62</v>
      </c>
      <c r="E894" s="5" t="s">
        <v>351</v>
      </c>
      <c r="F894" s="5" t="s">
        <v>1413</v>
      </c>
      <c r="G894" s="5">
        <v>7522811185</v>
      </c>
      <c r="H894" s="5" t="s">
        <v>1414</v>
      </c>
      <c r="I894" s="5" t="s">
        <v>158</v>
      </c>
      <c r="J894" s="5" t="s">
        <v>80</v>
      </c>
      <c r="K894" s="5" t="s">
        <v>288</v>
      </c>
      <c r="L894" s="6">
        <v>38429</v>
      </c>
    </row>
    <row r="895" spans="1:12" x14ac:dyDescent="0.25">
      <c r="A895" s="5">
        <v>894</v>
      </c>
      <c r="B895" s="5" t="s">
        <v>887</v>
      </c>
      <c r="C895" s="5" t="s">
        <v>83</v>
      </c>
      <c r="D895" s="5" t="s">
        <v>62</v>
      </c>
      <c r="E895" s="5" t="s">
        <v>351</v>
      </c>
      <c r="F895" s="5" t="s">
        <v>1415</v>
      </c>
      <c r="G895" s="5">
        <v>8562270609</v>
      </c>
      <c r="H895" s="5" t="s">
        <v>1416</v>
      </c>
      <c r="I895" s="5" t="s">
        <v>158</v>
      </c>
      <c r="J895" s="5" t="s">
        <v>80</v>
      </c>
      <c r="K895" s="5" t="s">
        <v>288</v>
      </c>
      <c r="L895" s="6">
        <v>38425</v>
      </c>
    </row>
    <row r="896" spans="1:12" x14ac:dyDescent="0.25">
      <c r="A896" s="5">
        <v>895</v>
      </c>
      <c r="B896" s="5" t="s">
        <v>6</v>
      </c>
      <c r="C896" s="5" t="s">
        <v>83</v>
      </c>
      <c r="D896" s="5" t="s">
        <v>62</v>
      </c>
      <c r="E896" s="5" t="s">
        <v>403</v>
      </c>
      <c r="F896" s="5" t="s">
        <v>1417</v>
      </c>
      <c r="G896" s="5">
        <v>6656560829</v>
      </c>
      <c r="H896" s="5" t="s">
        <v>1418</v>
      </c>
      <c r="I896" s="5" t="s">
        <v>158</v>
      </c>
      <c r="J896" s="5" t="s">
        <v>129</v>
      </c>
      <c r="K896" s="5" t="s">
        <v>400</v>
      </c>
      <c r="L896" s="6">
        <v>38628</v>
      </c>
    </row>
    <row r="897" spans="1:12" x14ac:dyDescent="0.25">
      <c r="A897" s="5">
        <v>896</v>
      </c>
      <c r="B897" s="5" t="s">
        <v>328</v>
      </c>
      <c r="C897" s="5" t="s">
        <v>75</v>
      </c>
      <c r="D897" s="5" t="s">
        <v>62</v>
      </c>
      <c r="E897" s="5" t="s">
        <v>467</v>
      </c>
      <c r="F897" s="5" t="s">
        <v>1419</v>
      </c>
      <c r="G897" s="5">
        <v>7924103286</v>
      </c>
      <c r="H897" s="5" t="s">
        <v>1420</v>
      </c>
      <c r="I897" s="5" t="s">
        <v>158</v>
      </c>
      <c r="J897" s="5" t="s">
        <v>129</v>
      </c>
      <c r="K897" s="5" t="s">
        <v>400</v>
      </c>
      <c r="L897" s="6">
        <v>38447</v>
      </c>
    </row>
    <row r="898" spans="1:12" x14ac:dyDescent="0.25">
      <c r="A898" s="5">
        <v>897</v>
      </c>
      <c r="B898" s="5" t="s">
        <v>387</v>
      </c>
      <c r="C898" s="5" t="s">
        <v>83</v>
      </c>
      <c r="D898" s="5" t="s">
        <v>62</v>
      </c>
      <c r="E898" s="5" t="s">
        <v>467</v>
      </c>
      <c r="F898" s="5" t="s">
        <v>1421</v>
      </c>
      <c r="G898" s="5">
        <v>6696339593</v>
      </c>
      <c r="H898" s="5" t="s">
        <v>1422</v>
      </c>
      <c r="I898" s="5" t="s">
        <v>158</v>
      </c>
      <c r="J898" s="5" t="s">
        <v>80</v>
      </c>
      <c r="K898" s="5" t="s">
        <v>400</v>
      </c>
      <c r="L898" s="6">
        <v>38642</v>
      </c>
    </row>
    <row r="899" spans="1:12" x14ac:dyDescent="0.25">
      <c r="A899" s="5">
        <v>898</v>
      </c>
      <c r="B899" s="5" t="s">
        <v>195</v>
      </c>
      <c r="C899" s="5" t="s">
        <v>83</v>
      </c>
      <c r="D899" s="5" t="s">
        <v>62</v>
      </c>
      <c r="E899" s="5" t="s">
        <v>131</v>
      </c>
      <c r="F899" s="5" t="s">
        <v>1423</v>
      </c>
      <c r="G899" s="5">
        <v>6938440491</v>
      </c>
      <c r="H899" s="5" t="s">
        <v>1424</v>
      </c>
      <c r="I899" s="5" t="s">
        <v>158</v>
      </c>
      <c r="J899" s="5" t="s">
        <v>112</v>
      </c>
      <c r="K899" s="5" t="s">
        <v>105</v>
      </c>
      <c r="L899" s="6">
        <v>38461</v>
      </c>
    </row>
    <row r="900" spans="1:12" x14ac:dyDescent="0.25">
      <c r="A900" s="5">
        <v>899</v>
      </c>
      <c r="B900" s="5" t="s">
        <v>7</v>
      </c>
      <c r="C900" s="5" t="s">
        <v>83</v>
      </c>
      <c r="D900" s="5" t="s">
        <v>62</v>
      </c>
      <c r="E900" s="5" t="s">
        <v>403</v>
      </c>
      <c r="F900" s="5" t="s">
        <v>1425</v>
      </c>
      <c r="G900" s="5">
        <v>8603247309</v>
      </c>
      <c r="H900" s="5" t="s">
        <v>1426</v>
      </c>
      <c r="I900" s="5" t="s">
        <v>158</v>
      </c>
      <c r="J900" s="5" t="s">
        <v>80</v>
      </c>
      <c r="K900" s="5" t="s">
        <v>400</v>
      </c>
      <c r="L900" s="6">
        <v>38649</v>
      </c>
    </row>
    <row r="901" spans="1:12" x14ac:dyDescent="0.25">
      <c r="A901" s="5">
        <v>900</v>
      </c>
      <c r="B901" s="5" t="s">
        <v>98</v>
      </c>
      <c r="C901" s="5" t="s">
        <v>83</v>
      </c>
      <c r="D901" s="5" t="s">
        <v>62</v>
      </c>
      <c r="E901" s="5" t="s">
        <v>268</v>
      </c>
      <c r="F901" s="5" t="s">
        <v>1427</v>
      </c>
      <c r="G901" s="5">
        <v>8558250291</v>
      </c>
      <c r="H901" s="5" t="s">
        <v>1428</v>
      </c>
      <c r="I901" s="5" t="s">
        <v>158</v>
      </c>
      <c r="J901" s="5" t="s">
        <v>80</v>
      </c>
      <c r="K901" s="5" t="s">
        <v>271</v>
      </c>
      <c r="L901" s="6">
        <v>38679</v>
      </c>
    </row>
    <row r="902" spans="1:12" x14ac:dyDescent="0.25">
      <c r="A902" s="5">
        <v>901</v>
      </c>
      <c r="B902" s="5" t="s">
        <v>180</v>
      </c>
      <c r="C902" s="5" t="s">
        <v>83</v>
      </c>
      <c r="D902" s="5" t="s">
        <v>62</v>
      </c>
      <c r="E902" s="5" t="s">
        <v>102</v>
      </c>
      <c r="F902" s="5" t="s">
        <v>1429</v>
      </c>
      <c r="G902" s="5">
        <v>9099812123</v>
      </c>
      <c r="H902" s="5" t="s">
        <v>1430</v>
      </c>
      <c r="I902" s="5" t="s">
        <v>158</v>
      </c>
      <c r="J902" s="5" t="s">
        <v>80</v>
      </c>
      <c r="K902" s="5" t="s">
        <v>105</v>
      </c>
      <c r="L902" s="6">
        <v>38416</v>
      </c>
    </row>
    <row r="903" spans="1:12" x14ac:dyDescent="0.25">
      <c r="A903" s="5">
        <v>902</v>
      </c>
      <c r="B903" s="5" t="s">
        <v>134</v>
      </c>
      <c r="C903" s="5" t="s">
        <v>75</v>
      </c>
      <c r="D903" s="5" t="s">
        <v>62</v>
      </c>
      <c r="E903" s="5" t="s">
        <v>289</v>
      </c>
      <c r="F903" s="5" t="s">
        <v>1372</v>
      </c>
      <c r="G903" s="5">
        <v>6324213538</v>
      </c>
      <c r="H903" s="5" t="s">
        <v>1431</v>
      </c>
      <c r="I903" s="5" t="s">
        <v>206</v>
      </c>
      <c r="J903" s="5" t="s">
        <v>129</v>
      </c>
      <c r="K903" s="5" t="s">
        <v>271</v>
      </c>
      <c r="L903" s="6">
        <v>38952</v>
      </c>
    </row>
    <row r="904" spans="1:12" x14ac:dyDescent="0.25">
      <c r="A904" s="5">
        <v>903</v>
      </c>
      <c r="B904" s="5" t="s">
        <v>393</v>
      </c>
      <c r="C904" s="5" t="s">
        <v>83</v>
      </c>
      <c r="D904" s="5" t="s">
        <v>62</v>
      </c>
      <c r="E904" s="5" t="s">
        <v>277</v>
      </c>
      <c r="F904" s="5" t="s">
        <v>1432</v>
      </c>
      <c r="G904" s="5">
        <v>9842548016</v>
      </c>
      <c r="H904" s="5" t="s">
        <v>1433</v>
      </c>
      <c r="I904" s="5" t="s">
        <v>206</v>
      </c>
      <c r="J904" s="5" t="s">
        <v>80</v>
      </c>
      <c r="K904" s="5" t="s">
        <v>271</v>
      </c>
      <c r="L904" s="6">
        <v>38856</v>
      </c>
    </row>
    <row r="905" spans="1:12" x14ac:dyDescent="0.25">
      <c r="A905" s="5">
        <v>904</v>
      </c>
      <c r="B905" s="5" t="s">
        <v>151</v>
      </c>
      <c r="C905" s="5" t="s">
        <v>83</v>
      </c>
      <c r="D905" s="5" t="s">
        <v>62</v>
      </c>
      <c r="E905" s="5" t="s">
        <v>277</v>
      </c>
      <c r="F905" s="5" t="s">
        <v>1399</v>
      </c>
      <c r="G905" s="5">
        <v>6275902727</v>
      </c>
      <c r="H905" s="5" t="s">
        <v>1434</v>
      </c>
      <c r="I905" s="5" t="s">
        <v>206</v>
      </c>
      <c r="J905" s="5" t="s">
        <v>112</v>
      </c>
      <c r="K905" s="5" t="s">
        <v>271</v>
      </c>
      <c r="L905" s="6">
        <v>39007</v>
      </c>
    </row>
    <row r="906" spans="1:12" x14ac:dyDescent="0.25">
      <c r="A906" s="5">
        <v>905</v>
      </c>
      <c r="B906" s="5" t="s">
        <v>1042</v>
      </c>
      <c r="C906" s="5" t="s">
        <v>75</v>
      </c>
      <c r="D906" s="5" t="s">
        <v>62</v>
      </c>
      <c r="E906" s="5" t="s">
        <v>224</v>
      </c>
      <c r="F906" s="5" t="s">
        <v>1409</v>
      </c>
      <c r="G906" s="5">
        <v>8906768232</v>
      </c>
      <c r="H906" s="5" t="s">
        <v>1435</v>
      </c>
      <c r="I906" s="5" t="s">
        <v>206</v>
      </c>
      <c r="J906" s="5" t="s">
        <v>80</v>
      </c>
      <c r="K906" s="5" t="s">
        <v>105</v>
      </c>
      <c r="L906" s="6">
        <v>38970</v>
      </c>
    </row>
    <row r="907" spans="1:12" x14ac:dyDescent="0.25">
      <c r="A907" s="5">
        <v>906</v>
      </c>
      <c r="B907" s="5" t="s">
        <v>373</v>
      </c>
      <c r="C907" s="5" t="s">
        <v>83</v>
      </c>
      <c r="D907" s="5" t="s">
        <v>62</v>
      </c>
      <c r="E907" s="5" t="s">
        <v>351</v>
      </c>
      <c r="F907" s="5" t="s">
        <v>1436</v>
      </c>
      <c r="G907" s="5">
        <v>8130201815</v>
      </c>
      <c r="H907" s="5" t="s">
        <v>1437</v>
      </c>
      <c r="I907" s="5" t="s">
        <v>206</v>
      </c>
      <c r="J907" s="5" t="s">
        <v>80</v>
      </c>
      <c r="K907" s="5" t="s">
        <v>288</v>
      </c>
      <c r="L907" s="6">
        <v>39057</v>
      </c>
    </row>
    <row r="908" spans="1:12" x14ac:dyDescent="0.25">
      <c r="A908" s="5">
        <v>907</v>
      </c>
      <c r="B908" s="5" t="s">
        <v>198</v>
      </c>
      <c r="C908" s="5" t="s">
        <v>83</v>
      </c>
      <c r="D908" s="5" t="s">
        <v>62</v>
      </c>
      <c r="E908" s="5" t="s">
        <v>403</v>
      </c>
      <c r="F908" s="5" t="s">
        <v>1438</v>
      </c>
      <c r="G908" s="5">
        <v>7851438411</v>
      </c>
      <c r="H908" s="5" t="s">
        <v>1439</v>
      </c>
      <c r="I908" s="5" t="s">
        <v>206</v>
      </c>
      <c r="J908" s="5" t="s">
        <v>80</v>
      </c>
      <c r="K908" s="5" t="s">
        <v>400</v>
      </c>
      <c r="L908" s="6">
        <v>39045</v>
      </c>
    </row>
    <row r="909" spans="1:12" x14ac:dyDescent="0.25">
      <c r="A909" s="5">
        <v>908</v>
      </c>
      <c r="B909" s="5" t="s">
        <v>116</v>
      </c>
      <c r="C909" s="5" t="s">
        <v>75</v>
      </c>
      <c r="D909" s="5" t="s">
        <v>62</v>
      </c>
      <c r="E909" s="5" t="s">
        <v>397</v>
      </c>
      <c r="F909" s="5" t="s">
        <v>1358</v>
      </c>
      <c r="G909" s="5">
        <v>7806686947</v>
      </c>
      <c r="H909" s="5" t="s">
        <v>1440</v>
      </c>
      <c r="I909" s="5" t="s">
        <v>206</v>
      </c>
      <c r="J909" s="5" t="s">
        <v>80</v>
      </c>
      <c r="K909" s="5" t="s">
        <v>400</v>
      </c>
      <c r="L909" s="6">
        <v>38916</v>
      </c>
    </row>
    <row r="910" spans="1:12" x14ac:dyDescent="0.25">
      <c r="A910" s="5">
        <v>909</v>
      </c>
      <c r="B910" s="5" t="s">
        <v>527</v>
      </c>
      <c r="C910" s="5" t="s">
        <v>75</v>
      </c>
      <c r="D910" s="5" t="s">
        <v>62</v>
      </c>
      <c r="E910" s="5" t="s">
        <v>106</v>
      </c>
      <c r="F910" s="5" t="s">
        <v>1397</v>
      </c>
      <c r="G910" s="5">
        <v>8270240316</v>
      </c>
      <c r="H910" s="5" t="s">
        <v>1441</v>
      </c>
      <c r="I910" s="5" t="s">
        <v>206</v>
      </c>
      <c r="J910" s="5" t="s">
        <v>80</v>
      </c>
      <c r="K910" s="5" t="s">
        <v>105</v>
      </c>
      <c r="L910" s="6">
        <v>38801</v>
      </c>
    </row>
    <row r="911" spans="1:12" x14ac:dyDescent="0.25">
      <c r="A911" s="5">
        <v>910</v>
      </c>
      <c r="B911" s="5" t="s">
        <v>171</v>
      </c>
      <c r="C911" s="5" t="s">
        <v>75</v>
      </c>
      <c r="D911" s="5" t="s">
        <v>62</v>
      </c>
      <c r="E911" s="5" t="s">
        <v>467</v>
      </c>
      <c r="F911" s="5" t="s">
        <v>1442</v>
      </c>
      <c r="G911" s="5">
        <v>9274616023</v>
      </c>
      <c r="H911" s="5" t="s">
        <v>1443</v>
      </c>
      <c r="I911" s="5" t="s">
        <v>206</v>
      </c>
      <c r="J911" s="5" t="s">
        <v>80</v>
      </c>
      <c r="K911" s="5" t="s">
        <v>400</v>
      </c>
      <c r="L911" s="6">
        <v>39034</v>
      </c>
    </row>
    <row r="912" spans="1:12" x14ac:dyDescent="0.25">
      <c r="A912" s="5">
        <v>911</v>
      </c>
      <c r="B912" s="5" t="s">
        <v>98</v>
      </c>
      <c r="C912" s="5" t="s">
        <v>83</v>
      </c>
      <c r="D912" s="5" t="s">
        <v>62</v>
      </c>
      <c r="E912" s="5" t="s">
        <v>277</v>
      </c>
      <c r="F912" s="5" t="s">
        <v>1427</v>
      </c>
      <c r="G912" s="5">
        <v>8284840789</v>
      </c>
      <c r="H912" s="5" t="s">
        <v>1444</v>
      </c>
      <c r="I912" s="5" t="s">
        <v>206</v>
      </c>
      <c r="J912" s="5" t="s">
        <v>129</v>
      </c>
      <c r="K912" s="5" t="s">
        <v>271</v>
      </c>
      <c r="L912" s="6">
        <v>39060</v>
      </c>
    </row>
    <row r="913" spans="1:12" x14ac:dyDescent="0.25">
      <c r="A913" s="5">
        <v>912</v>
      </c>
      <c r="B913" s="5" t="s">
        <v>311</v>
      </c>
      <c r="C913" s="5" t="s">
        <v>75</v>
      </c>
      <c r="D913" s="5" t="s">
        <v>62</v>
      </c>
      <c r="E913" s="5" t="s">
        <v>102</v>
      </c>
      <c r="F913" s="5" t="s">
        <v>1445</v>
      </c>
      <c r="G913" s="5">
        <v>6241732481</v>
      </c>
      <c r="H913" s="5" t="s">
        <v>1394</v>
      </c>
      <c r="I913" s="5" t="s">
        <v>206</v>
      </c>
      <c r="J913" s="5" t="s">
        <v>80</v>
      </c>
      <c r="K913" s="5" t="s">
        <v>105</v>
      </c>
      <c r="L913" s="6">
        <v>38850</v>
      </c>
    </row>
    <row r="914" spans="1:12" x14ac:dyDescent="0.25">
      <c r="A914" s="5">
        <v>913</v>
      </c>
      <c r="B914" s="5" t="s">
        <v>550</v>
      </c>
      <c r="C914" s="5" t="s">
        <v>83</v>
      </c>
      <c r="D914" s="5" t="s">
        <v>62</v>
      </c>
      <c r="E914" s="5" t="s">
        <v>285</v>
      </c>
      <c r="F914" s="5" t="s">
        <v>1395</v>
      </c>
      <c r="G914" s="5">
        <v>9259252175</v>
      </c>
      <c r="H914" s="5" t="s">
        <v>1446</v>
      </c>
      <c r="I914" s="5" t="s">
        <v>206</v>
      </c>
      <c r="J914" s="5" t="s">
        <v>80</v>
      </c>
      <c r="K914" s="5" t="s">
        <v>288</v>
      </c>
      <c r="L914" s="6">
        <v>38880</v>
      </c>
    </row>
    <row r="915" spans="1:12" x14ac:dyDescent="0.25">
      <c r="A915" s="5">
        <v>914</v>
      </c>
      <c r="B915" s="5" t="s">
        <v>661</v>
      </c>
      <c r="C915" s="5" t="s">
        <v>75</v>
      </c>
      <c r="D915" s="5" t="s">
        <v>62</v>
      </c>
      <c r="E915" s="5" t="s">
        <v>467</v>
      </c>
      <c r="F915" s="5" t="s">
        <v>1447</v>
      </c>
      <c r="G915" s="5">
        <v>8594112808</v>
      </c>
      <c r="H915" s="5" t="s">
        <v>1448</v>
      </c>
      <c r="I915" s="5" t="s">
        <v>206</v>
      </c>
      <c r="J915" s="5" t="s">
        <v>80</v>
      </c>
      <c r="K915" s="5" t="s">
        <v>400</v>
      </c>
      <c r="L915" s="6">
        <v>38908</v>
      </c>
    </row>
    <row r="916" spans="1:12" x14ac:dyDescent="0.25">
      <c r="A916" s="5">
        <v>915</v>
      </c>
      <c r="B916" s="5" t="s">
        <v>732</v>
      </c>
      <c r="C916" s="5" t="s">
        <v>83</v>
      </c>
      <c r="D916" s="5" t="s">
        <v>62</v>
      </c>
      <c r="E916" s="5" t="s">
        <v>403</v>
      </c>
      <c r="F916" s="5" t="s">
        <v>1379</v>
      </c>
      <c r="G916" s="5">
        <v>9839454136</v>
      </c>
      <c r="H916" s="5" t="s">
        <v>1449</v>
      </c>
      <c r="I916" s="5" t="s">
        <v>206</v>
      </c>
      <c r="J916" s="5" t="s">
        <v>112</v>
      </c>
      <c r="K916" s="5" t="s">
        <v>400</v>
      </c>
      <c r="L916" s="6">
        <v>38799</v>
      </c>
    </row>
    <row r="917" spans="1:12" x14ac:dyDescent="0.25">
      <c r="A917" s="5">
        <v>916</v>
      </c>
      <c r="B917" s="5" t="s">
        <v>242</v>
      </c>
      <c r="C917" s="5" t="s">
        <v>75</v>
      </c>
      <c r="D917" s="5" t="s">
        <v>62</v>
      </c>
      <c r="E917" s="5" t="s">
        <v>289</v>
      </c>
      <c r="F917" s="5" t="s">
        <v>1450</v>
      </c>
      <c r="G917" s="5">
        <v>7502212099</v>
      </c>
      <c r="H917" s="5" t="s">
        <v>1451</v>
      </c>
      <c r="I917" s="5" t="s">
        <v>206</v>
      </c>
      <c r="J917" s="5" t="s">
        <v>80</v>
      </c>
      <c r="K917" s="5" t="s">
        <v>271</v>
      </c>
      <c r="L917" s="6">
        <v>38776</v>
      </c>
    </row>
    <row r="918" spans="1:12" x14ac:dyDescent="0.25">
      <c r="A918" s="5">
        <v>917</v>
      </c>
      <c r="B918" s="5" t="s">
        <v>661</v>
      </c>
      <c r="C918" s="5" t="s">
        <v>75</v>
      </c>
      <c r="D918" s="5" t="s">
        <v>62</v>
      </c>
      <c r="E918" s="5" t="s">
        <v>467</v>
      </c>
      <c r="F918" s="5" t="s">
        <v>1447</v>
      </c>
      <c r="G918" s="5">
        <v>7831408130</v>
      </c>
      <c r="H918" s="5" t="s">
        <v>1452</v>
      </c>
      <c r="I918" s="5" t="s">
        <v>206</v>
      </c>
      <c r="J918" s="5" t="s">
        <v>80</v>
      </c>
      <c r="K918" s="5" t="s">
        <v>400</v>
      </c>
      <c r="L918" s="6">
        <v>38825</v>
      </c>
    </row>
    <row r="919" spans="1:12" x14ac:dyDescent="0.25">
      <c r="A919" s="5">
        <v>918</v>
      </c>
      <c r="B919" s="5" t="s">
        <v>218</v>
      </c>
      <c r="C919" s="5" t="s">
        <v>83</v>
      </c>
      <c r="D919" s="5" t="s">
        <v>62</v>
      </c>
      <c r="E919" s="5" t="s">
        <v>102</v>
      </c>
      <c r="F919" s="5" t="s">
        <v>1360</v>
      </c>
      <c r="G919" s="5">
        <v>7672729878</v>
      </c>
      <c r="H919" s="5" t="s">
        <v>1453</v>
      </c>
      <c r="I919" s="5" t="s">
        <v>206</v>
      </c>
      <c r="J919" s="5" t="s">
        <v>80</v>
      </c>
      <c r="K919" s="5" t="s">
        <v>105</v>
      </c>
      <c r="L919" s="6">
        <v>38993</v>
      </c>
    </row>
    <row r="920" spans="1:12" x14ac:dyDescent="0.25">
      <c r="A920" s="5">
        <v>919</v>
      </c>
      <c r="B920" s="5" t="s">
        <v>155</v>
      </c>
      <c r="C920" s="5" t="s">
        <v>83</v>
      </c>
      <c r="D920" s="5" t="s">
        <v>62</v>
      </c>
      <c r="E920" s="5" t="s">
        <v>268</v>
      </c>
      <c r="F920" s="5" t="s">
        <v>1454</v>
      </c>
      <c r="G920" s="5">
        <v>6410060542</v>
      </c>
      <c r="H920" s="5" t="s">
        <v>1455</v>
      </c>
      <c r="I920" s="5" t="s">
        <v>206</v>
      </c>
      <c r="J920" s="5" t="s">
        <v>80</v>
      </c>
      <c r="K920" s="5" t="s">
        <v>271</v>
      </c>
      <c r="L920" s="6">
        <v>39066</v>
      </c>
    </row>
    <row r="921" spans="1:12" x14ac:dyDescent="0.25">
      <c r="A921" s="5">
        <v>920</v>
      </c>
      <c r="B921" s="5" t="s">
        <v>303</v>
      </c>
      <c r="C921" s="5" t="s">
        <v>75</v>
      </c>
      <c r="D921" s="5" t="s">
        <v>62</v>
      </c>
      <c r="E921" s="5" t="s">
        <v>438</v>
      </c>
      <c r="F921" s="5" t="s">
        <v>1456</v>
      </c>
      <c r="G921" s="5">
        <v>8487275890</v>
      </c>
      <c r="H921" s="5" t="s">
        <v>1457</v>
      </c>
      <c r="I921" s="5" t="s">
        <v>206</v>
      </c>
      <c r="J921" s="5" t="s">
        <v>129</v>
      </c>
      <c r="K921" s="5" t="s">
        <v>400</v>
      </c>
      <c r="L921" s="6">
        <v>38951</v>
      </c>
    </row>
    <row r="922" spans="1:12" x14ac:dyDescent="0.25">
      <c r="A922" s="5">
        <v>921</v>
      </c>
      <c r="B922" s="5" t="s">
        <v>171</v>
      </c>
      <c r="C922" s="5" t="s">
        <v>75</v>
      </c>
      <c r="D922" s="5" t="s">
        <v>62</v>
      </c>
      <c r="E922" s="5" t="s">
        <v>331</v>
      </c>
      <c r="F922" s="5" t="s">
        <v>1442</v>
      </c>
      <c r="G922" s="5">
        <v>9994014669</v>
      </c>
      <c r="H922" s="5" t="s">
        <v>1458</v>
      </c>
      <c r="I922" s="5" t="s">
        <v>206</v>
      </c>
      <c r="J922" s="5" t="s">
        <v>80</v>
      </c>
      <c r="K922" s="5" t="s">
        <v>271</v>
      </c>
      <c r="L922" s="6">
        <v>38755</v>
      </c>
    </row>
    <row r="923" spans="1:12" x14ac:dyDescent="0.25">
      <c r="A923" s="5">
        <v>922</v>
      </c>
      <c r="B923" s="5" t="s">
        <v>544</v>
      </c>
      <c r="C923" s="5" t="s">
        <v>75</v>
      </c>
      <c r="D923" s="5" t="s">
        <v>62</v>
      </c>
      <c r="E923" s="5" t="s">
        <v>438</v>
      </c>
      <c r="F923" s="5" t="s">
        <v>1459</v>
      </c>
      <c r="G923" s="5">
        <v>9044634105</v>
      </c>
      <c r="H923" s="5" t="s">
        <v>1460</v>
      </c>
      <c r="I923" s="5" t="s">
        <v>206</v>
      </c>
      <c r="J923" s="5" t="s">
        <v>129</v>
      </c>
      <c r="K923" s="5" t="s">
        <v>400</v>
      </c>
      <c r="L923" s="6">
        <v>38787</v>
      </c>
    </row>
    <row r="924" spans="1:12" x14ac:dyDescent="0.25">
      <c r="A924" s="5">
        <v>923</v>
      </c>
      <c r="B924" s="5" t="s">
        <v>259</v>
      </c>
      <c r="C924" s="5" t="s">
        <v>75</v>
      </c>
      <c r="D924" s="5" t="s">
        <v>62</v>
      </c>
      <c r="E924" s="5" t="s">
        <v>351</v>
      </c>
      <c r="F924" s="5" t="s">
        <v>1461</v>
      </c>
      <c r="G924" s="5">
        <v>6903138894</v>
      </c>
      <c r="H924" s="5" t="s">
        <v>1462</v>
      </c>
      <c r="I924" s="5" t="s">
        <v>206</v>
      </c>
      <c r="J924" s="5" t="s">
        <v>80</v>
      </c>
      <c r="K924" s="5" t="s">
        <v>288</v>
      </c>
      <c r="L924" s="6">
        <v>38881</v>
      </c>
    </row>
    <row r="925" spans="1:12" x14ac:dyDescent="0.25">
      <c r="A925" s="5">
        <v>924</v>
      </c>
      <c r="B925" s="5" t="s">
        <v>239</v>
      </c>
      <c r="C925" s="5" t="s">
        <v>75</v>
      </c>
      <c r="D925" s="5" t="s">
        <v>62</v>
      </c>
      <c r="E925" s="5" t="s">
        <v>438</v>
      </c>
      <c r="F925" s="5" t="s">
        <v>1362</v>
      </c>
      <c r="G925" s="5">
        <v>9362427248</v>
      </c>
      <c r="H925" s="5" t="s">
        <v>1463</v>
      </c>
      <c r="I925" s="5" t="s">
        <v>247</v>
      </c>
      <c r="J925" s="5" t="s">
        <v>80</v>
      </c>
      <c r="K925" s="5" t="s">
        <v>400</v>
      </c>
      <c r="L925" s="6">
        <v>39116</v>
      </c>
    </row>
    <row r="926" spans="1:12" x14ac:dyDescent="0.25">
      <c r="A926" s="5">
        <v>925</v>
      </c>
      <c r="B926" s="5" t="s">
        <v>138</v>
      </c>
      <c r="C926" s="5" t="s">
        <v>83</v>
      </c>
      <c r="D926" s="5" t="s">
        <v>62</v>
      </c>
      <c r="E926" s="5" t="s">
        <v>438</v>
      </c>
      <c r="F926" s="5" t="s">
        <v>1464</v>
      </c>
      <c r="G926" s="5">
        <v>9129205192</v>
      </c>
      <c r="H926" s="5" t="s">
        <v>1424</v>
      </c>
      <c r="I926" s="5" t="s">
        <v>247</v>
      </c>
      <c r="J926" s="5" t="s">
        <v>80</v>
      </c>
      <c r="K926" s="5" t="s">
        <v>400</v>
      </c>
      <c r="L926" s="6">
        <v>39396</v>
      </c>
    </row>
    <row r="927" spans="1:12" x14ac:dyDescent="0.25">
      <c r="A927" s="5">
        <v>926</v>
      </c>
      <c r="B927" s="5" t="s">
        <v>328</v>
      </c>
      <c r="C927" s="5" t="s">
        <v>83</v>
      </c>
      <c r="D927" s="5" t="s">
        <v>62</v>
      </c>
      <c r="E927" s="5" t="s">
        <v>403</v>
      </c>
      <c r="F927" s="5" t="s">
        <v>1419</v>
      </c>
      <c r="G927" s="5">
        <v>7519632886</v>
      </c>
      <c r="H927" s="5" t="s">
        <v>1465</v>
      </c>
      <c r="I927" s="5" t="s">
        <v>247</v>
      </c>
      <c r="J927" s="5" t="s">
        <v>80</v>
      </c>
      <c r="K927" s="5" t="s">
        <v>400</v>
      </c>
      <c r="L927" s="6">
        <v>39429</v>
      </c>
    </row>
    <row r="928" spans="1:12" x14ac:dyDescent="0.25">
      <c r="A928" s="5">
        <v>927</v>
      </c>
      <c r="B928" s="5" t="s">
        <v>151</v>
      </c>
      <c r="C928" s="5" t="s">
        <v>75</v>
      </c>
      <c r="D928" s="5" t="s">
        <v>62</v>
      </c>
      <c r="E928" s="5" t="s">
        <v>268</v>
      </c>
      <c r="F928" s="5" t="s">
        <v>1399</v>
      </c>
      <c r="G928" s="5">
        <v>8909475074</v>
      </c>
      <c r="H928" s="5" t="s">
        <v>1466</v>
      </c>
      <c r="I928" s="5" t="s">
        <v>247</v>
      </c>
      <c r="J928" s="5" t="s">
        <v>80</v>
      </c>
      <c r="K928" s="5" t="s">
        <v>271</v>
      </c>
      <c r="L928" s="6">
        <v>39383</v>
      </c>
    </row>
    <row r="929" spans="1:12" x14ac:dyDescent="0.25">
      <c r="A929" s="5">
        <v>928</v>
      </c>
      <c r="B929" s="5" t="s">
        <v>282</v>
      </c>
      <c r="C929" s="5" t="s">
        <v>83</v>
      </c>
      <c r="D929" s="5" t="s">
        <v>62</v>
      </c>
      <c r="E929" s="5" t="s">
        <v>102</v>
      </c>
      <c r="F929" s="5" t="s">
        <v>1467</v>
      </c>
      <c r="G929" s="5">
        <v>8648503031</v>
      </c>
      <c r="H929" s="5" t="s">
        <v>1365</v>
      </c>
      <c r="I929" s="5" t="s">
        <v>247</v>
      </c>
      <c r="J929" s="5" t="s">
        <v>80</v>
      </c>
      <c r="K929" s="5" t="s">
        <v>105</v>
      </c>
      <c r="L929" s="6">
        <v>39308</v>
      </c>
    </row>
    <row r="930" spans="1:12" x14ac:dyDescent="0.25">
      <c r="A930" s="5">
        <v>929</v>
      </c>
      <c r="B930" s="5" t="s">
        <v>236</v>
      </c>
      <c r="C930" s="5" t="s">
        <v>83</v>
      </c>
      <c r="D930" s="5" t="s">
        <v>62</v>
      </c>
      <c r="E930" s="5" t="s">
        <v>397</v>
      </c>
      <c r="F930" s="5" t="s">
        <v>1468</v>
      </c>
      <c r="G930" s="5">
        <v>7019515934</v>
      </c>
      <c r="H930" s="5" t="s">
        <v>1469</v>
      </c>
      <c r="I930" s="5" t="s">
        <v>247</v>
      </c>
      <c r="J930" s="5" t="s">
        <v>129</v>
      </c>
      <c r="K930" s="5" t="s">
        <v>400</v>
      </c>
      <c r="L930" s="6">
        <v>39358</v>
      </c>
    </row>
    <row r="931" spans="1:12" x14ac:dyDescent="0.25">
      <c r="A931" s="5">
        <v>930</v>
      </c>
      <c r="B931" s="5" t="s">
        <v>373</v>
      </c>
      <c r="C931" s="5" t="s">
        <v>83</v>
      </c>
      <c r="D931" s="5" t="s">
        <v>62</v>
      </c>
      <c r="E931" s="5" t="s">
        <v>331</v>
      </c>
      <c r="F931" s="5" t="s">
        <v>1436</v>
      </c>
      <c r="G931" s="5">
        <v>6829676726</v>
      </c>
      <c r="H931" s="5" t="s">
        <v>1470</v>
      </c>
      <c r="I931" s="5" t="s">
        <v>247</v>
      </c>
      <c r="J931" s="5" t="s">
        <v>112</v>
      </c>
      <c r="K931" s="5" t="s">
        <v>271</v>
      </c>
      <c r="L931" s="6">
        <v>39151</v>
      </c>
    </row>
    <row r="932" spans="1:12" x14ac:dyDescent="0.25">
      <c r="A932" s="5">
        <v>931</v>
      </c>
      <c r="B932" s="5" t="s">
        <v>527</v>
      </c>
      <c r="C932" s="5" t="s">
        <v>75</v>
      </c>
      <c r="D932" s="5" t="s">
        <v>62</v>
      </c>
      <c r="E932" s="5" t="s">
        <v>268</v>
      </c>
      <c r="F932" s="5" t="s">
        <v>1397</v>
      </c>
      <c r="G932" s="5">
        <v>8860442313</v>
      </c>
      <c r="H932" s="5" t="s">
        <v>1471</v>
      </c>
      <c r="I932" s="5" t="s">
        <v>247</v>
      </c>
      <c r="J932" s="5" t="s">
        <v>129</v>
      </c>
      <c r="K932" s="5" t="s">
        <v>271</v>
      </c>
      <c r="L932" s="6">
        <v>39226</v>
      </c>
    </row>
    <row r="933" spans="1:12" x14ac:dyDescent="0.25">
      <c r="A933" s="5">
        <v>932</v>
      </c>
      <c r="B933" s="5" t="s">
        <v>514</v>
      </c>
      <c r="C933" s="5" t="s">
        <v>75</v>
      </c>
      <c r="D933" s="5" t="s">
        <v>62</v>
      </c>
      <c r="E933" s="5" t="s">
        <v>467</v>
      </c>
      <c r="F933" s="5" t="s">
        <v>1472</v>
      </c>
      <c r="G933" s="5">
        <v>9933397472</v>
      </c>
      <c r="H933" s="5" t="s">
        <v>1473</v>
      </c>
      <c r="I933" s="5" t="s">
        <v>247</v>
      </c>
      <c r="J933" s="5" t="s">
        <v>80</v>
      </c>
      <c r="K933" s="5" t="s">
        <v>400</v>
      </c>
      <c r="L933" s="6">
        <v>39241</v>
      </c>
    </row>
    <row r="934" spans="1:12" x14ac:dyDescent="0.25">
      <c r="A934" s="5">
        <v>933</v>
      </c>
      <c r="B934" s="5" t="s">
        <v>420</v>
      </c>
      <c r="C934" s="5" t="s">
        <v>75</v>
      </c>
      <c r="D934" s="5" t="s">
        <v>62</v>
      </c>
      <c r="E934" s="5" t="s">
        <v>397</v>
      </c>
      <c r="F934" s="5" t="s">
        <v>1474</v>
      </c>
      <c r="G934" s="5">
        <v>9660365916</v>
      </c>
      <c r="H934" s="5" t="s">
        <v>1475</v>
      </c>
      <c r="I934" s="5" t="s">
        <v>247</v>
      </c>
      <c r="J934" s="5" t="s">
        <v>112</v>
      </c>
      <c r="K934" s="5" t="s">
        <v>400</v>
      </c>
      <c r="L934" s="6">
        <v>39121</v>
      </c>
    </row>
    <row r="935" spans="1:12" x14ac:dyDescent="0.25">
      <c r="A935" s="5">
        <v>934</v>
      </c>
      <c r="B935" s="5" t="s">
        <v>86</v>
      </c>
      <c r="C935" s="5" t="s">
        <v>75</v>
      </c>
      <c r="D935" s="5" t="s">
        <v>62</v>
      </c>
      <c r="E935" s="5" t="s">
        <v>106</v>
      </c>
      <c r="F935" s="5" t="s">
        <v>1476</v>
      </c>
      <c r="G935" s="5">
        <v>7654700383</v>
      </c>
      <c r="H935" s="5" t="s">
        <v>1466</v>
      </c>
      <c r="I935" s="5" t="s">
        <v>247</v>
      </c>
      <c r="J935" s="5" t="s">
        <v>159</v>
      </c>
      <c r="K935" s="5" t="s">
        <v>105</v>
      </c>
      <c r="L935" s="6">
        <v>39110</v>
      </c>
    </row>
    <row r="936" spans="1:12" x14ac:dyDescent="0.25">
      <c r="A936" s="5">
        <v>935</v>
      </c>
      <c r="B936" s="5" t="s">
        <v>198</v>
      </c>
      <c r="C936" s="5" t="s">
        <v>75</v>
      </c>
      <c r="D936" s="5" t="s">
        <v>62</v>
      </c>
      <c r="E936" s="5" t="s">
        <v>351</v>
      </c>
      <c r="F936" s="5" t="s">
        <v>1438</v>
      </c>
      <c r="G936" s="5">
        <v>9004509340</v>
      </c>
      <c r="H936" s="5" t="s">
        <v>1477</v>
      </c>
      <c r="I936" s="5" t="s">
        <v>247</v>
      </c>
      <c r="J936" s="5" t="s">
        <v>80</v>
      </c>
      <c r="K936" s="5" t="s">
        <v>288</v>
      </c>
      <c r="L936" s="6">
        <v>39224</v>
      </c>
    </row>
    <row r="937" spans="1:12" x14ac:dyDescent="0.25">
      <c r="A937" s="5">
        <v>936</v>
      </c>
      <c r="B937" s="5" t="s">
        <v>187</v>
      </c>
      <c r="C937" s="5" t="s">
        <v>83</v>
      </c>
      <c r="D937" s="5" t="s">
        <v>62</v>
      </c>
      <c r="E937" s="5" t="s">
        <v>438</v>
      </c>
      <c r="F937" s="5" t="s">
        <v>1478</v>
      </c>
      <c r="G937" s="5">
        <v>6704545016</v>
      </c>
      <c r="H937" s="5" t="s">
        <v>1458</v>
      </c>
      <c r="I937" s="5" t="s">
        <v>247</v>
      </c>
      <c r="J937" s="5" t="s">
        <v>129</v>
      </c>
      <c r="K937" s="5" t="s">
        <v>400</v>
      </c>
      <c r="L937" s="6">
        <v>39260</v>
      </c>
    </row>
    <row r="938" spans="1:12" x14ac:dyDescent="0.25">
      <c r="A938" s="5">
        <v>937</v>
      </c>
      <c r="B938" s="5" t="s">
        <v>486</v>
      </c>
      <c r="C938" s="5" t="s">
        <v>75</v>
      </c>
      <c r="D938" s="5" t="s">
        <v>62</v>
      </c>
      <c r="E938" s="5" t="s">
        <v>268</v>
      </c>
      <c r="F938" s="5" t="s">
        <v>1373</v>
      </c>
      <c r="G938" s="5">
        <v>9362604482</v>
      </c>
      <c r="H938" s="5" t="s">
        <v>1479</v>
      </c>
      <c r="I938" s="5" t="s">
        <v>247</v>
      </c>
      <c r="J938" s="5" t="s">
        <v>80</v>
      </c>
      <c r="K938" s="5" t="s">
        <v>271</v>
      </c>
      <c r="L938" s="6">
        <v>39316</v>
      </c>
    </row>
    <row r="939" spans="1:12" x14ac:dyDescent="0.25">
      <c r="A939" s="5">
        <v>938</v>
      </c>
      <c r="B939" s="5" t="s">
        <v>239</v>
      </c>
      <c r="C939" s="5" t="s">
        <v>75</v>
      </c>
      <c r="D939" s="5" t="s">
        <v>62</v>
      </c>
      <c r="E939" s="5" t="s">
        <v>308</v>
      </c>
      <c r="F939" s="5" t="s">
        <v>1362</v>
      </c>
      <c r="G939" s="5">
        <v>9746845324</v>
      </c>
      <c r="H939" s="5" t="s">
        <v>1400</v>
      </c>
      <c r="I939" s="5" t="s">
        <v>247</v>
      </c>
      <c r="J939" s="5" t="s">
        <v>80</v>
      </c>
      <c r="K939" s="5" t="s">
        <v>288</v>
      </c>
      <c r="L939" s="6">
        <v>39249</v>
      </c>
    </row>
    <row r="940" spans="1:12" x14ac:dyDescent="0.25">
      <c r="A940" s="5">
        <v>939</v>
      </c>
      <c r="B940" s="5" t="s">
        <v>476</v>
      </c>
      <c r="C940" s="5" t="s">
        <v>83</v>
      </c>
      <c r="D940" s="5" t="s">
        <v>62</v>
      </c>
      <c r="E940" s="5" t="s">
        <v>403</v>
      </c>
      <c r="F940" s="5" t="s">
        <v>1480</v>
      </c>
      <c r="G940" s="5">
        <v>8709641815</v>
      </c>
      <c r="H940" s="5" t="s">
        <v>1481</v>
      </c>
      <c r="I940" s="5" t="s">
        <v>247</v>
      </c>
      <c r="J940" s="5" t="s">
        <v>80</v>
      </c>
      <c r="K940" s="5" t="s">
        <v>400</v>
      </c>
      <c r="L940" s="6">
        <v>39281</v>
      </c>
    </row>
    <row r="941" spans="1:12" x14ac:dyDescent="0.25">
      <c r="A941" s="5">
        <v>940</v>
      </c>
      <c r="B941" s="5" t="s">
        <v>406</v>
      </c>
      <c r="C941" s="5" t="s">
        <v>75</v>
      </c>
      <c r="D941" s="5" t="s">
        <v>62</v>
      </c>
      <c r="E941" s="5" t="s">
        <v>268</v>
      </c>
      <c r="F941" s="5" t="s">
        <v>1482</v>
      </c>
      <c r="G941" s="5">
        <v>6338964113</v>
      </c>
      <c r="H941" s="5" t="s">
        <v>1483</v>
      </c>
      <c r="I941" s="5" t="s">
        <v>247</v>
      </c>
      <c r="J941" s="5" t="s">
        <v>80</v>
      </c>
      <c r="K941" s="5" t="s">
        <v>271</v>
      </c>
      <c r="L941" s="6">
        <v>39173</v>
      </c>
    </row>
    <row r="942" spans="1:12" x14ac:dyDescent="0.25">
      <c r="A942" s="5">
        <v>941</v>
      </c>
      <c r="B942" s="5" t="s">
        <v>505</v>
      </c>
      <c r="C942" s="5" t="s">
        <v>75</v>
      </c>
      <c r="D942" s="5" t="s">
        <v>62</v>
      </c>
      <c r="E942" s="5" t="s">
        <v>331</v>
      </c>
      <c r="F942" s="5" t="s">
        <v>1484</v>
      </c>
      <c r="G942" s="5">
        <v>8023752863</v>
      </c>
      <c r="H942" s="5" t="s">
        <v>1485</v>
      </c>
      <c r="I942" s="5" t="s">
        <v>247</v>
      </c>
      <c r="J942" s="5" t="s">
        <v>129</v>
      </c>
      <c r="K942" s="5" t="s">
        <v>271</v>
      </c>
      <c r="L942" s="6">
        <v>39361</v>
      </c>
    </row>
    <row r="943" spans="1:12" x14ac:dyDescent="0.25">
      <c r="A943" s="5">
        <v>942</v>
      </c>
      <c r="B943" s="5" t="s">
        <v>208</v>
      </c>
      <c r="C943" s="5" t="s">
        <v>83</v>
      </c>
      <c r="D943" s="5" t="s">
        <v>43</v>
      </c>
      <c r="E943" s="5" t="s">
        <v>272</v>
      </c>
      <c r="F943" s="5" t="s">
        <v>1486</v>
      </c>
      <c r="G943" s="5">
        <v>9427648828</v>
      </c>
      <c r="H943" s="5" t="s">
        <v>1487</v>
      </c>
      <c r="I943" s="5" t="s">
        <v>79</v>
      </c>
      <c r="J943" s="5" t="s">
        <v>129</v>
      </c>
      <c r="K943" s="5" t="s">
        <v>275</v>
      </c>
      <c r="L943" s="6">
        <v>38207</v>
      </c>
    </row>
    <row r="944" spans="1:12" x14ac:dyDescent="0.25">
      <c r="A944" s="5">
        <v>943</v>
      </c>
      <c r="B944" s="5" t="s">
        <v>360</v>
      </c>
      <c r="C944" s="5" t="s">
        <v>75</v>
      </c>
      <c r="D944" s="5" t="s">
        <v>43</v>
      </c>
      <c r="E944" s="5" t="s">
        <v>277</v>
      </c>
      <c r="F944" s="5" t="s">
        <v>1488</v>
      </c>
      <c r="G944" s="5">
        <v>8178577932</v>
      </c>
      <c r="H944" s="5" t="s">
        <v>1489</v>
      </c>
      <c r="I944" s="5" t="s">
        <v>79</v>
      </c>
      <c r="J944" s="5" t="s">
        <v>80</v>
      </c>
      <c r="K944" s="5" t="s">
        <v>271</v>
      </c>
      <c r="L944" s="6">
        <v>38214</v>
      </c>
    </row>
    <row r="945" spans="1:12" x14ac:dyDescent="0.25">
      <c r="A945" s="5">
        <v>944</v>
      </c>
      <c r="B945" s="5" t="s">
        <v>661</v>
      </c>
      <c r="C945" s="5" t="s">
        <v>83</v>
      </c>
      <c r="D945" s="5" t="s">
        <v>43</v>
      </c>
      <c r="E945" s="5" t="s">
        <v>300</v>
      </c>
      <c r="F945" s="5" t="s">
        <v>1490</v>
      </c>
      <c r="G945" s="5">
        <v>6063945722</v>
      </c>
      <c r="H945" s="5" t="s">
        <v>1491</v>
      </c>
      <c r="I945" s="5" t="s">
        <v>79</v>
      </c>
      <c r="J945" s="5" t="s">
        <v>80</v>
      </c>
      <c r="K945" s="5" t="s">
        <v>275</v>
      </c>
      <c r="L945" s="6">
        <v>38111</v>
      </c>
    </row>
    <row r="946" spans="1:12" x14ac:dyDescent="0.25">
      <c r="A946" s="5">
        <v>945</v>
      </c>
      <c r="B946" s="5" t="s">
        <v>86</v>
      </c>
      <c r="C946" s="5" t="s">
        <v>75</v>
      </c>
      <c r="D946" s="5" t="s">
        <v>43</v>
      </c>
      <c r="E946" s="5" t="s">
        <v>289</v>
      </c>
      <c r="F946" s="5" t="s">
        <v>1492</v>
      </c>
      <c r="G946" s="5">
        <v>8504277837</v>
      </c>
      <c r="H946" s="5" t="s">
        <v>1493</v>
      </c>
      <c r="I946" s="5" t="s">
        <v>79</v>
      </c>
      <c r="J946" s="5" t="s">
        <v>80</v>
      </c>
      <c r="K946" s="5" t="s">
        <v>271</v>
      </c>
      <c r="L946" s="6">
        <v>38252</v>
      </c>
    </row>
    <row r="947" spans="1:12" x14ac:dyDescent="0.25">
      <c r="A947" s="5">
        <v>946</v>
      </c>
      <c r="B947" s="5" t="s">
        <v>8</v>
      </c>
      <c r="C947" s="5" t="s">
        <v>75</v>
      </c>
      <c r="D947" s="5" t="s">
        <v>43</v>
      </c>
      <c r="E947" s="5" t="s">
        <v>306</v>
      </c>
      <c r="F947" s="5" t="s">
        <v>1494</v>
      </c>
      <c r="G947" s="5">
        <v>9788054511</v>
      </c>
      <c r="H947" s="5" t="s">
        <v>1495</v>
      </c>
      <c r="I947" s="5" t="s">
        <v>79</v>
      </c>
      <c r="J947" s="5" t="s">
        <v>112</v>
      </c>
      <c r="K947" s="5" t="s">
        <v>275</v>
      </c>
      <c r="L947" s="6">
        <v>38053</v>
      </c>
    </row>
    <row r="948" spans="1:12" x14ac:dyDescent="0.25">
      <c r="A948" s="5">
        <v>947</v>
      </c>
      <c r="B948" s="5" t="s">
        <v>311</v>
      </c>
      <c r="C948" s="5" t="s">
        <v>83</v>
      </c>
      <c r="D948" s="5" t="s">
        <v>43</v>
      </c>
      <c r="E948" s="5" t="s">
        <v>102</v>
      </c>
      <c r="F948" s="5" t="s">
        <v>1496</v>
      </c>
      <c r="G948" s="5">
        <v>8914929095</v>
      </c>
      <c r="H948" s="5" t="s">
        <v>1497</v>
      </c>
      <c r="I948" s="5" t="s">
        <v>79</v>
      </c>
      <c r="J948" s="5" t="s">
        <v>80</v>
      </c>
      <c r="K948" s="5" t="s">
        <v>105</v>
      </c>
      <c r="L948" s="6">
        <v>37993</v>
      </c>
    </row>
    <row r="949" spans="1:12" x14ac:dyDescent="0.25">
      <c r="A949" s="5">
        <v>948</v>
      </c>
      <c r="B949" s="5" t="s">
        <v>762</v>
      </c>
      <c r="C949" s="5" t="s">
        <v>83</v>
      </c>
      <c r="D949" s="5" t="s">
        <v>43</v>
      </c>
      <c r="E949" s="5" t="s">
        <v>331</v>
      </c>
      <c r="F949" s="5" t="s">
        <v>1498</v>
      </c>
      <c r="G949" s="5">
        <v>8131450710</v>
      </c>
      <c r="H949" s="5" t="s">
        <v>1499</v>
      </c>
      <c r="I949" s="5" t="s">
        <v>79</v>
      </c>
      <c r="J949" s="5" t="s">
        <v>80</v>
      </c>
      <c r="K949" s="5" t="s">
        <v>271</v>
      </c>
      <c r="L949" s="6">
        <v>38065</v>
      </c>
    </row>
    <row r="950" spans="1:12" x14ac:dyDescent="0.25">
      <c r="A950" s="5">
        <v>949</v>
      </c>
      <c r="B950" s="5" t="s">
        <v>514</v>
      </c>
      <c r="C950" s="5" t="s">
        <v>83</v>
      </c>
      <c r="D950" s="5" t="s">
        <v>43</v>
      </c>
      <c r="E950" s="5" t="s">
        <v>300</v>
      </c>
      <c r="F950" s="5" t="s">
        <v>1500</v>
      </c>
      <c r="G950" s="5">
        <v>9099346432</v>
      </c>
      <c r="H950" s="5" t="s">
        <v>1501</v>
      </c>
      <c r="I950" s="5" t="s">
        <v>79</v>
      </c>
      <c r="J950" s="5" t="s">
        <v>80</v>
      </c>
      <c r="K950" s="5" t="s">
        <v>275</v>
      </c>
      <c r="L950" s="6">
        <v>38057</v>
      </c>
    </row>
    <row r="951" spans="1:12" x14ac:dyDescent="0.25">
      <c r="A951" s="5">
        <v>950</v>
      </c>
      <c r="B951" s="5" t="s">
        <v>151</v>
      </c>
      <c r="C951" s="5" t="s">
        <v>75</v>
      </c>
      <c r="D951" s="5" t="s">
        <v>43</v>
      </c>
      <c r="E951" s="5" t="s">
        <v>314</v>
      </c>
      <c r="F951" s="5" t="s">
        <v>1502</v>
      </c>
      <c r="G951" s="5">
        <v>8075632695</v>
      </c>
      <c r="H951" s="5" t="s">
        <v>1503</v>
      </c>
      <c r="I951" s="5" t="s">
        <v>79</v>
      </c>
      <c r="J951" s="5" t="s">
        <v>129</v>
      </c>
      <c r="K951" s="5" t="s">
        <v>275</v>
      </c>
      <c r="L951" s="6">
        <v>38027</v>
      </c>
    </row>
    <row r="952" spans="1:12" x14ac:dyDescent="0.25">
      <c r="A952" s="5">
        <v>951</v>
      </c>
      <c r="B952" s="5" t="s">
        <v>212</v>
      </c>
      <c r="C952" s="5" t="s">
        <v>83</v>
      </c>
      <c r="D952" s="5" t="s">
        <v>43</v>
      </c>
      <c r="E952" s="5" t="s">
        <v>277</v>
      </c>
      <c r="F952" s="5" t="s">
        <v>1504</v>
      </c>
      <c r="G952" s="5">
        <v>6883580480</v>
      </c>
      <c r="H952" s="5" t="s">
        <v>1505</v>
      </c>
      <c r="I952" s="5" t="s">
        <v>79</v>
      </c>
      <c r="J952" s="5" t="s">
        <v>80</v>
      </c>
      <c r="K952" s="5" t="s">
        <v>271</v>
      </c>
      <c r="L952" s="6">
        <v>38275</v>
      </c>
    </row>
    <row r="953" spans="1:12" x14ac:dyDescent="0.25">
      <c r="A953" s="5">
        <v>952</v>
      </c>
      <c r="B953" s="5" t="s">
        <v>195</v>
      </c>
      <c r="C953" s="5" t="s">
        <v>83</v>
      </c>
      <c r="D953" s="5" t="s">
        <v>43</v>
      </c>
      <c r="E953" s="5" t="s">
        <v>300</v>
      </c>
      <c r="F953" s="5" t="s">
        <v>1506</v>
      </c>
      <c r="G953" s="5">
        <v>9933331985</v>
      </c>
      <c r="H953" s="5" t="s">
        <v>1507</v>
      </c>
      <c r="I953" s="5" t="s">
        <v>79</v>
      </c>
      <c r="J953" s="5" t="s">
        <v>80</v>
      </c>
      <c r="K953" s="5" t="s">
        <v>275</v>
      </c>
      <c r="L953" s="6">
        <v>38176</v>
      </c>
    </row>
    <row r="954" spans="1:12" x14ac:dyDescent="0.25">
      <c r="A954" s="5">
        <v>953</v>
      </c>
      <c r="B954" s="5" t="s">
        <v>212</v>
      </c>
      <c r="C954" s="5" t="s">
        <v>83</v>
      </c>
      <c r="D954" s="5" t="s">
        <v>43</v>
      </c>
      <c r="E954" s="5" t="s">
        <v>289</v>
      </c>
      <c r="F954" s="5" t="s">
        <v>1504</v>
      </c>
      <c r="G954" s="5">
        <v>7550319591</v>
      </c>
      <c r="H954" s="5" t="s">
        <v>1508</v>
      </c>
      <c r="I954" s="5" t="s">
        <v>79</v>
      </c>
      <c r="J954" s="5" t="s">
        <v>80</v>
      </c>
      <c r="K954" s="5" t="s">
        <v>271</v>
      </c>
      <c r="L954" s="6">
        <v>38231</v>
      </c>
    </row>
    <row r="955" spans="1:12" x14ac:dyDescent="0.25">
      <c r="A955" s="5">
        <v>954</v>
      </c>
      <c r="B955" s="5" t="s">
        <v>384</v>
      </c>
      <c r="C955" s="5" t="s">
        <v>83</v>
      </c>
      <c r="D955" s="5" t="s">
        <v>43</v>
      </c>
      <c r="E955" s="5" t="s">
        <v>272</v>
      </c>
      <c r="F955" s="5" t="s">
        <v>1509</v>
      </c>
      <c r="G955" s="5">
        <v>9402087674</v>
      </c>
      <c r="H955" s="5" t="s">
        <v>1510</v>
      </c>
      <c r="I955" s="5" t="s">
        <v>158</v>
      </c>
      <c r="J955" s="5" t="s">
        <v>80</v>
      </c>
      <c r="K955" s="5" t="s">
        <v>275</v>
      </c>
      <c r="L955" s="6">
        <v>38632</v>
      </c>
    </row>
    <row r="956" spans="1:12" x14ac:dyDescent="0.25">
      <c r="A956" s="5">
        <v>955</v>
      </c>
      <c r="B956" s="5" t="s">
        <v>215</v>
      </c>
      <c r="C956" s="5" t="s">
        <v>75</v>
      </c>
      <c r="D956" s="5" t="s">
        <v>43</v>
      </c>
      <c r="E956" s="5" t="s">
        <v>306</v>
      </c>
      <c r="F956" s="5" t="s">
        <v>1511</v>
      </c>
      <c r="G956" s="5">
        <v>9781682627</v>
      </c>
      <c r="H956" s="5" t="s">
        <v>1512</v>
      </c>
      <c r="I956" s="5" t="s">
        <v>158</v>
      </c>
      <c r="J956" s="5" t="s">
        <v>159</v>
      </c>
      <c r="K956" s="5" t="s">
        <v>275</v>
      </c>
      <c r="L956" s="6">
        <v>38504</v>
      </c>
    </row>
    <row r="957" spans="1:12" x14ac:dyDescent="0.25">
      <c r="A957" s="5">
        <v>956</v>
      </c>
      <c r="B957" s="5" t="s">
        <v>242</v>
      </c>
      <c r="C957" s="5" t="s">
        <v>83</v>
      </c>
      <c r="D957" s="5" t="s">
        <v>43</v>
      </c>
      <c r="E957" s="5" t="s">
        <v>224</v>
      </c>
      <c r="F957" s="5" t="s">
        <v>1513</v>
      </c>
      <c r="G957" s="5">
        <v>6776118446</v>
      </c>
      <c r="H957" s="5" t="s">
        <v>1514</v>
      </c>
      <c r="I957" s="5" t="s">
        <v>158</v>
      </c>
      <c r="J957" s="5" t="s">
        <v>80</v>
      </c>
      <c r="K957" s="5" t="s">
        <v>105</v>
      </c>
      <c r="L957" s="6">
        <v>38605</v>
      </c>
    </row>
    <row r="958" spans="1:12" x14ac:dyDescent="0.25">
      <c r="A958" s="5">
        <v>957</v>
      </c>
      <c r="B958" s="5" t="s">
        <v>228</v>
      </c>
      <c r="C958" s="5" t="s">
        <v>83</v>
      </c>
      <c r="D958" s="5" t="s">
        <v>43</v>
      </c>
      <c r="E958" s="5" t="s">
        <v>268</v>
      </c>
      <c r="F958" s="5" t="s">
        <v>1515</v>
      </c>
      <c r="G958" s="5">
        <v>7265708715</v>
      </c>
      <c r="H958" s="5" t="s">
        <v>1516</v>
      </c>
      <c r="I958" s="5" t="s">
        <v>158</v>
      </c>
      <c r="J958" s="5" t="s">
        <v>80</v>
      </c>
      <c r="K958" s="5" t="s">
        <v>271</v>
      </c>
      <c r="L958" s="6">
        <v>38648</v>
      </c>
    </row>
    <row r="959" spans="1:12" x14ac:dyDescent="0.25">
      <c r="A959" s="5">
        <v>958</v>
      </c>
      <c r="B959" s="5" t="s">
        <v>215</v>
      </c>
      <c r="C959" s="5" t="s">
        <v>83</v>
      </c>
      <c r="D959" s="5" t="s">
        <v>43</v>
      </c>
      <c r="E959" s="5" t="s">
        <v>314</v>
      </c>
      <c r="F959" s="5" t="s">
        <v>1511</v>
      </c>
      <c r="G959" s="5">
        <v>9266301860</v>
      </c>
      <c r="H959" s="5" t="s">
        <v>1517</v>
      </c>
      <c r="I959" s="5" t="s">
        <v>158</v>
      </c>
      <c r="J959" s="5" t="s">
        <v>129</v>
      </c>
      <c r="K959" s="5" t="s">
        <v>275</v>
      </c>
      <c r="L959" s="6">
        <v>38412</v>
      </c>
    </row>
    <row r="960" spans="1:12" x14ac:dyDescent="0.25">
      <c r="A960" s="5">
        <v>959</v>
      </c>
      <c r="B960" s="5" t="s">
        <v>6</v>
      </c>
      <c r="C960" s="5" t="s">
        <v>83</v>
      </c>
      <c r="D960" s="5" t="s">
        <v>43</v>
      </c>
      <c r="E960" s="5" t="s">
        <v>314</v>
      </c>
      <c r="F960" s="5" t="s">
        <v>1518</v>
      </c>
      <c r="G960" s="5">
        <v>9715703127</v>
      </c>
      <c r="H960" s="5" t="s">
        <v>1519</v>
      </c>
      <c r="I960" s="5" t="s">
        <v>158</v>
      </c>
      <c r="J960" s="5" t="s">
        <v>80</v>
      </c>
      <c r="K960" s="5" t="s">
        <v>275</v>
      </c>
      <c r="L960" s="6">
        <v>38359</v>
      </c>
    </row>
    <row r="961" spans="1:12" x14ac:dyDescent="0.25">
      <c r="A961" s="5">
        <v>960</v>
      </c>
      <c r="B961" s="5" t="s">
        <v>282</v>
      </c>
      <c r="C961" s="5" t="s">
        <v>75</v>
      </c>
      <c r="D961" s="5" t="s">
        <v>43</v>
      </c>
      <c r="E961" s="5" t="s">
        <v>289</v>
      </c>
      <c r="F961" s="5" t="s">
        <v>1520</v>
      </c>
      <c r="G961" s="5">
        <v>6077335595</v>
      </c>
      <c r="H961" s="5" t="s">
        <v>1521</v>
      </c>
      <c r="I961" s="5" t="s">
        <v>158</v>
      </c>
      <c r="J961" s="5" t="s">
        <v>80</v>
      </c>
      <c r="K961" s="5" t="s">
        <v>271</v>
      </c>
      <c r="L961" s="6">
        <v>38697</v>
      </c>
    </row>
    <row r="962" spans="1:12" x14ac:dyDescent="0.25">
      <c r="A962" s="5">
        <v>961</v>
      </c>
      <c r="B962" s="5" t="s">
        <v>544</v>
      </c>
      <c r="C962" s="5" t="s">
        <v>75</v>
      </c>
      <c r="D962" s="5" t="s">
        <v>43</v>
      </c>
      <c r="E962" s="5" t="s">
        <v>292</v>
      </c>
      <c r="F962" s="5" t="s">
        <v>1522</v>
      </c>
      <c r="G962" s="5">
        <v>9440655422</v>
      </c>
      <c r="H962" s="5" t="s">
        <v>1523</v>
      </c>
      <c r="I962" s="5" t="s">
        <v>158</v>
      </c>
      <c r="J962" s="5" t="s">
        <v>80</v>
      </c>
      <c r="K962" s="5" t="s">
        <v>288</v>
      </c>
      <c r="L962" s="6">
        <v>38460</v>
      </c>
    </row>
    <row r="963" spans="1:12" x14ac:dyDescent="0.25">
      <c r="A963" s="5">
        <v>962</v>
      </c>
      <c r="B963" s="5" t="s">
        <v>122</v>
      </c>
      <c r="C963" s="5" t="s">
        <v>83</v>
      </c>
      <c r="D963" s="5" t="s">
        <v>43</v>
      </c>
      <c r="E963" s="5" t="s">
        <v>131</v>
      </c>
      <c r="F963" s="5" t="s">
        <v>1524</v>
      </c>
      <c r="G963" s="5">
        <v>9694189919</v>
      </c>
      <c r="H963" s="5" t="s">
        <v>1525</v>
      </c>
      <c r="I963" s="5" t="s">
        <v>158</v>
      </c>
      <c r="J963" s="5" t="s">
        <v>80</v>
      </c>
      <c r="K963" s="5" t="s">
        <v>105</v>
      </c>
      <c r="L963" s="6">
        <v>38555</v>
      </c>
    </row>
    <row r="964" spans="1:12" x14ac:dyDescent="0.25">
      <c r="A964" s="5">
        <v>963</v>
      </c>
      <c r="B964" s="5" t="s">
        <v>116</v>
      </c>
      <c r="C964" s="5" t="s">
        <v>83</v>
      </c>
      <c r="D964" s="5" t="s">
        <v>43</v>
      </c>
      <c r="E964" s="5" t="s">
        <v>131</v>
      </c>
      <c r="F964" s="5" t="s">
        <v>1526</v>
      </c>
      <c r="G964" s="5">
        <v>9557310388</v>
      </c>
      <c r="H964" s="5" t="s">
        <v>1527</v>
      </c>
      <c r="I964" s="5" t="s">
        <v>158</v>
      </c>
      <c r="J964" s="5" t="s">
        <v>80</v>
      </c>
      <c r="K964" s="5" t="s">
        <v>105</v>
      </c>
      <c r="L964" s="6">
        <v>38455</v>
      </c>
    </row>
    <row r="965" spans="1:12" x14ac:dyDescent="0.25">
      <c r="A965" s="5">
        <v>964</v>
      </c>
      <c r="B965" s="5" t="s">
        <v>180</v>
      </c>
      <c r="C965" s="5" t="s">
        <v>83</v>
      </c>
      <c r="D965" s="5" t="s">
        <v>43</v>
      </c>
      <c r="E965" s="5" t="s">
        <v>306</v>
      </c>
      <c r="F965" s="5" t="s">
        <v>1528</v>
      </c>
      <c r="G965" s="5">
        <v>7856280630</v>
      </c>
      <c r="H965" s="5" t="s">
        <v>1529</v>
      </c>
      <c r="I965" s="5" t="s">
        <v>158</v>
      </c>
      <c r="J965" s="5" t="s">
        <v>80</v>
      </c>
      <c r="K965" s="5" t="s">
        <v>275</v>
      </c>
      <c r="L965" s="6">
        <v>38650</v>
      </c>
    </row>
    <row r="966" spans="1:12" x14ac:dyDescent="0.25">
      <c r="A966" s="5">
        <v>965</v>
      </c>
      <c r="B966" s="5" t="s">
        <v>233</v>
      </c>
      <c r="C966" s="5" t="s">
        <v>75</v>
      </c>
      <c r="D966" s="5" t="s">
        <v>43</v>
      </c>
      <c r="E966" s="5" t="s">
        <v>224</v>
      </c>
      <c r="F966" s="5" t="s">
        <v>1530</v>
      </c>
      <c r="G966" s="5">
        <v>8262905064</v>
      </c>
      <c r="H966" s="5" t="s">
        <v>1531</v>
      </c>
      <c r="I966" s="5" t="s">
        <v>158</v>
      </c>
      <c r="J966" s="5" t="s">
        <v>129</v>
      </c>
      <c r="K966" s="5" t="s">
        <v>105</v>
      </c>
      <c r="L966" s="6">
        <v>38637</v>
      </c>
    </row>
    <row r="967" spans="1:12" x14ac:dyDescent="0.25">
      <c r="A967" s="5">
        <v>966</v>
      </c>
      <c r="B967" s="5" t="s">
        <v>317</v>
      </c>
      <c r="C967" s="5" t="s">
        <v>75</v>
      </c>
      <c r="D967" s="5" t="s">
        <v>43</v>
      </c>
      <c r="E967" s="5" t="s">
        <v>300</v>
      </c>
      <c r="F967" s="5" t="s">
        <v>1532</v>
      </c>
      <c r="G967" s="5">
        <v>8879194774</v>
      </c>
      <c r="H967" s="5" t="s">
        <v>1533</v>
      </c>
      <c r="I967" s="5" t="s">
        <v>158</v>
      </c>
      <c r="J967" s="5" t="s">
        <v>80</v>
      </c>
      <c r="K967" s="5" t="s">
        <v>275</v>
      </c>
      <c r="L967" s="6">
        <v>38658</v>
      </c>
    </row>
    <row r="968" spans="1:12" x14ac:dyDescent="0.25">
      <c r="A968" s="5">
        <v>967</v>
      </c>
      <c r="B968" s="5" t="s">
        <v>494</v>
      </c>
      <c r="C968" s="5" t="s">
        <v>75</v>
      </c>
      <c r="D968" s="5" t="s">
        <v>43</v>
      </c>
      <c r="E968" s="5" t="s">
        <v>272</v>
      </c>
      <c r="F968" s="5" t="s">
        <v>1534</v>
      </c>
      <c r="G968" s="5">
        <v>8738555000</v>
      </c>
      <c r="H968" s="5" t="s">
        <v>1535</v>
      </c>
      <c r="I968" s="5" t="s">
        <v>158</v>
      </c>
      <c r="J968" s="5" t="s">
        <v>80</v>
      </c>
      <c r="K968" s="5" t="s">
        <v>275</v>
      </c>
      <c r="L968" s="6">
        <v>38622</v>
      </c>
    </row>
    <row r="969" spans="1:12" x14ac:dyDescent="0.25">
      <c r="A969" s="5">
        <v>968</v>
      </c>
      <c r="B969" s="5" t="s">
        <v>98</v>
      </c>
      <c r="C969" s="5" t="s">
        <v>75</v>
      </c>
      <c r="D969" s="5" t="s">
        <v>43</v>
      </c>
      <c r="E969" s="5" t="s">
        <v>308</v>
      </c>
      <c r="F969" s="5" t="s">
        <v>1536</v>
      </c>
      <c r="G969" s="5">
        <v>7656557522</v>
      </c>
      <c r="H969" s="5" t="s">
        <v>1537</v>
      </c>
      <c r="I969" s="5" t="s">
        <v>158</v>
      </c>
      <c r="J969" s="5" t="s">
        <v>80</v>
      </c>
      <c r="K969" s="5" t="s">
        <v>288</v>
      </c>
      <c r="L969" s="6">
        <v>38582</v>
      </c>
    </row>
    <row r="970" spans="1:12" x14ac:dyDescent="0.25">
      <c r="A970" s="5">
        <v>969</v>
      </c>
      <c r="B970" s="5" t="s">
        <v>195</v>
      </c>
      <c r="C970" s="5" t="s">
        <v>83</v>
      </c>
      <c r="D970" s="5" t="s">
        <v>43</v>
      </c>
      <c r="E970" s="5" t="s">
        <v>131</v>
      </c>
      <c r="F970" s="5" t="s">
        <v>1506</v>
      </c>
      <c r="G970" s="5">
        <v>8070571179</v>
      </c>
      <c r="H970" s="5" t="s">
        <v>1538</v>
      </c>
      <c r="I970" s="5" t="s">
        <v>158</v>
      </c>
      <c r="J970" s="5" t="s">
        <v>129</v>
      </c>
      <c r="K970" s="5" t="s">
        <v>105</v>
      </c>
      <c r="L970" s="6">
        <v>38522</v>
      </c>
    </row>
    <row r="971" spans="1:12" x14ac:dyDescent="0.25">
      <c r="A971" s="5">
        <v>970</v>
      </c>
      <c r="B971" s="5" t="s">
        <v>442</v>
      </c>
      <c r="C971" s="5" t="s">
        <v>83</v>
      </c>
      <c r="D971" s="5" t="s">
        <v>43</v>
      </c>
      <c r="E971" s="5" t="s">
        <v>289</v>
      </c>
      <c r="F971" s="5" t="s">
        <v>1539</v>
      </c>
      <c r="G971" s="5">
        <v>7734490202</v>
      </c>
      <c r="H971" s="5" t="s">
        <v>1540</v>
      </c>
      <c r="I971" s="5" t="s">
        <v>158</v>
      </c>
      <c r="J971" s="5" t="s">
        <v>80</v>
      </c>
      <c r="K971" s="5" t="s">
        <v>271</v>
      </c>
      <c r="L971" s="6">
        <v>38588</v>
      </c>
    </row>
    <row r="972" spans="1:12" x14ac:dyDescent="0.25">
      <c r="A972" s="5">
        <v>971</v>
      </c>
      <c r="B972" s="5" t="s">
        <v>130</v>
      </c>
      <c r="C972" s="5" t="s">
        <v>75</v>
      </c>
      <c r="D972" s="5" t="s">
        <v>43</v>
      </c>
      <c r="E972" s="5" t="s">
        <v>331</v>
      </c>
      <c r="F972" s="5" t="s">
        <v>1541</v>
      </c>
      <c r="G972" s="5">
        <v>8322180003</v>
      </c>
      <c r="H972" s="5" t="s">
        <v>1542</v>
      </c>
      <c r="I972" s="5" t="s">
        <v>158</v>
      </c>
      <c r="J972" s="5" t="s">
        <v>80</v>
      </c>
      <c r="K972" s="5" t="s">
        <v>271</v>
      </c>
      <c r="L972" s="6">
        <v>38614</v>
      </c>
    </row>
    <row r="973" spans="1:12" x14ac:dyDescent="0.25">
      <c r="A973" s="5">
        <v>972</v>
      </c>
      <c r="B973" s="5" t="s">
        <v>420</v>
      </c>
      <c r="C973" s="5" t="s">
        <v>83</v>
      </c>
      <c r="D973" s="5" t="s">
        <v>43</v>
      </c>
      <c r="E973" s="5" t="s">
        <v>289</v>
      </c>
      <c r="F973" s="5" t="s">
        <v>1543</v>
      </c>
      <c r="G973" s="5">
        <v>8905918332</v>
      </c>
      <c r="H973" s="5" t="s">
        <v>1529</v>
      </c>
      <c r="I973" s="5" t="s">
        <v>206</v>
      </c>
      <c r="J973" s="5" t="s">
        <v>80</v>
      </c>
      <c r="K973" s="5" t="s">
        <v>271</v>
      </c>
      <c r="L973" s="6">
        <v>38917</v>
      </c>
    </row>
    <row r="974" spans="1:12" x14ac:dyDescent="0.25">
      <c r="A974" s="5">
        <v>973</v>
      </c>
      <c r="B974" s="5" t="s">
        <v>101</v>
      </c>
      <c r="C974" s="5" t="s">
        <v>83</v>
      </c>
      <c r="D974" s="5" t="s">
        <v>43</v>
      </c>
      <c r="E974" s="5" t="s">
        <v>314</v>
      </c>
      <c r="F974" s="5" t="s">
        <v>1544</v>
      </c>
      <c r="G974" s="5">
        <v>8073117382</v>
      </c>
      <c r="H974" s="5" t="s">
        <v>1545</v>
      </c>
      <c r="I974" s="5" t="s">
        <v>206</v>
      </c>
      <c r="J974" s="5" t="s">
        <v>80</v>
      </c>
      <c r="K974" s="5" t="s">
        <v>275</v>
      </c>
      <c r="L974" s="6">
        <v>38941</v>
      </c>
    </row>
    <row r="975" spans="1:12" x14ac:dyDescent="0.25">
      <c r="A975" s="5">
        <v>974</v>
      </c>
      <c r="B975" s="5" t="s">
        <v>600</v>
      </c>
      <c r="C975" s="5" t="s">
        <v>75</v>
      </c>
      <c r="D975" s="5" t="s">
        <v>43</v>
      </c>
      <c r="E975" s="5" t="s">
        <v>268</v>
      </c>
      <c r="F975" s="5" t="s">
        <v>1546</v>
      </c>
      <c r="G975" s="5">
        <v>8995058101</v>
      </c>
      <c r="H975" s="5" t="s">
        <v>1547</v>
      </c>
      <c r="I975" s="5" t="s">
        <v>206</v>
      </c>
      <c r="J975" s="5" t="s">
        <v>80</v>
      </c>
      <c r="K975" s="5" t="s">
        <v>271</v>
      </c>
      <c r="L975" s="6">
        <v>38782</v>
      </c>
    </row>
    <row r="976" spans="1:12" x14ac:dyDescent="0.25">
      <c r="A976" s="5">
        <v>975</v>
      </c>
      <c r="B976" s="5" t="s">
        <v>706</v>
      </c>
      <c r="C976" s="5" t="s">
        <v>83</v>
      </c>
      <c r="D976" s="5" t="s">
        <v>43</v>
      </c>
      <c r="E976" s="5" t="s">
        <v>292</v>
      </c>
      <c r="F976" s="5" t="s">
        <v>1548</v>
      </c>
      <c r="G976" s="5">
        <v>7479454237</v>
      </c>
      <c r="H976" s="5" t="s">
        <v>1549</v>
      </c>
      <c r="I976" s="5" t="s">
        <v>206</v>
      </c>
      <c r="J976" s="5" t="s">
        <v>129</v>
      </c>
      <c r="K976" s="5" t="s">
        <v>288</v>
      </c>
      <c r="L976" s="6">
        <v>38893</v>
      </c>
    </row>
    <row r="977" spans="1:12" x14ac:dyDescent="0.25">
      <c r="A977" s="5">
        <v>976</v>
      </c>
      <c r="B977" s="5" t="s">
        <v>203</v>
      </c>
      <c r="C977" s="5" t="s">
        <v>75</v>
      </c>
      <c r="D977" s="5" t="s">
        <v>43</v>
      </c>
      <c r="E977" s="5" t="s">
        <v>300</v>
      </c>
      <c r="F977" s="5" t="s">
        <v>1550</v>
      </c>
      <c r="G977" s="5">
        <v>6919296148</v>
      </c>
      <c r="H977" s="5" t="s">
        <v>1551</v>
      </c>
      <c r="I977" s="5" t="s">
        <v>206</v>
      </c>
      <c r="J977" s="5" t="s">
        <v>112</v>
      </c>
      <c r="K977" s="5" t="s">
        <v>275</v>
      </c>
      <c r="L977" s="6">
        <v>38932</v>
      </c>
    </row>
    <row r="978" spans="1:12" x14ac:dyDescent="0.25">
      <c r="A978" s="5">
        <v>977</v>
      </c>
      <c r="B978" s="5" t="s">
        <v>151</v>
      </c>
      <c r="C978" s="5" t="s">
        <v>83</v>
      </c>
      <c r="D978" s="5" t="s">
        <v>43</v>
      </c>
      <c r="E978" s="5" t="s">
        <v>314</v>
      </c>
      <c r="F978" s="5" t="s">
        <v>1502</v>
      </c>
      <c r="G978" s="5">
        <v>8472716627</v>
      </c>
      <c r="H978" s="5" t="s">
        <v>1552</v>
      </c>
      <c r="I978" s="5" t="s">
        <v>206</v>
      </c>
      <c r="J978" s="5" t="s">
        <v>112</v>
      </c>
      <c r="K978" s="5" t="s">
        <v>275</v>
      </c>
      <c r="L978" s="6">
        <v>39074</v>
      </c>
    </row>
    <row r="979" spans="1:12" x14ac:dyDescent="0.25">
      <c r="A979" s="5">
        <v>978</v>
      </c>
      <c r="B979" s="5" t="s">
        <v>575</v>
      </c>
      <c r="C979" s="5" t="s">
        <v>75</v>
      </c>
      <c r="D979" s="5" t="s">
        <v>43</v>
      </c>
      <c r="E979" s="5" t="s">
        <v>272</v>
      </c>
      <c r="F979" s="5" t="s">
        <v>1553</v>
      </c>
      <c r="G979" s="5">
        <v>7958070430</v>
      </c>
      <c r="H979" s="5" t="s">
        <v>1554</v>
      </c>
      <c r="I979" s="5" t="s">
        <v>206</v>
      </c>
      <c r="J979" s="5" t="s">
        <v>80</v>
      </c>
      <c r="K979" s="5" t="s">
        <v>275</v>
      </c>
      <c r="L979" s="6">
        <v>38812</v>
      </c>
    </row>
    <row r="980" spans="1:12" x14ac:dyDescent="0.25">
      <c r="A980" s="5">
        <v>979</v>
      </c>
      <c r="B980" s="5" t="s">
        <v>486</v>
      </c>
      <c r="C980" s="5" t="s">
        <v>75</v>
      </c>
      <c r="D980" s="5" t="s">
        <v>43</v>
      </c>
      <c r="E980" s="5" t="s">
        <v>314</v>
      </c>
      <c r="F980" s="5" t="s">
        <v>1555</v>
      </c>
      <c r="G980" s="5">
        <v>9762582878</v>
      </c>
      <c r="H980" s="5" t="s">
        <v>1556</v>
      </c>
      <c r="I980" s="5" t="s">
        <v>206</v>
      </c>
      <c r="J980" s="5" t="s">
        <v>80</v>
      </c>
      <c r="K980" s="5" t="s">
        <v>275</v>
      </c>
      <c r="L980" s="6">
        <v>38740</v>
      </c>
    </row>
    <row r="981" spans="1:12" x14ac:dyDescent="0.25">
      <c r="A981" s="5">
        <v>980</v>
      </c>
      <c r="B981" s="5" t="s">
        <v>396</v>
      </c>
      <c r="C981" s="5" t="s">
        <v>83</v>
      </c>
      <c r="D981" s="5" t="s">
        <v>43</v>
      </c>
      <c r="E981" s="5" t="s">
        <v>314</v>
      </c>
      <c r="F981" s="5" t="s">
        <v>1557</v>
      </c>
      <c r="G981" s="5">
        <v>6525985354</v>
      </c>
      <c r="H981" s="5" t="s">
        <v>1558</v>
      </c>
      <c r="I981" s="5" t="s">
        <v>206</v>
      </c>
      <c r="J981" s="5" t="s">
        <v>80</v>
      </c>
      <c r="K981" s="5" t="s">
        <v>275</v>
      </c>
      <c r="L981" s="6">
        <v>38995</v>
      </c>
    </row>
    <row r="982" spans="1:12" x14ac:dyDescent="0.25">
      <c r="A982" s="5">
        <v>981</v>
      </c>
      <c r="B982" s="5" t="s">
        <v>276</v>
      </c>
      <c r="C982" s="5" t="s">
        <v>83</v>
      </c>
      <c r="D982" s="5" t="s">
        <v>43</v>
      </c>
      <c r="E982" s="5" t="s">
        <v>289</v>
      </c>
      <c r="F982" s="5" t="s">
        <v>1559</v>
      </c>
      <c r="G982" s="5">
        <v>8094592493</v>
      </c>
      <c r="H982" s="5" t="s">
        <v>1560</v>
      </c>
      <c r="I982" s="5" t="s">
        <v>206</v>
      </c>
      <c r="J982" s="5" t="s">
        <v>112</v>
      </c>
      <c r="K982" s="5" t="s">
        <v>271</v>
      </c>
      <c r="L982" s="6">
        <v>38739</v>
      </c>
    </row>
    <row r="983" spans="1:12" x14ac:dyDescent="0.25">
      <c r="A983" s="5">
        <v>982</v>
      </c>
      <c r="B983" s="5" t="s">
        <v>527</v>
      </c>
      <c r="C983" s="5" t="s">
        <v>83</v>
      </c>
      <c r="D983" s="5" t="s">
        <v>43</v>
      </c>
      <c r="E983" s="5" t="s">
        <v>131</v>
      </c>
      <c r="F983" s="5" t="s">
        <v>1561</v>
      </c>
      <c r="G983" s="5">
        <v>7287730444</v>
      </c>
      <c r="H983" s="5" t="s">
        <v>1562</v>
      </c>
      <c r="I983" s="5" t="s">
        <v>206</v>
      </c>
      <c r="J983" s="5" t="s">
        <v>80</v>
      </c>
      <c r="K983" s="5" t="s">
        <v>105</v>
      </c>
      <c r="L983" s="6">
        <v>38784</v>
      </c>
    </row>
    <row r="984" spans="1:12" x14ac:dyDescent="0.25">
      <c r="A984" s="5">
        <v>983</v>
      </c>
      <c r="B984" s="5" t="s">
        <v>230</v>
      </c>
      <c r="C984" s="5" t="s">
        <v>75</v>
      </c>
      <c r="D984" s="5" t="s">
        <v>43</v>
      </c>
      <c r="E984" s="5" t="s">
        <v>308</v>
      </c>
      <c r="F984" s="5" t="s">
        <v>1563</v>
      </c>
      <c r="G984" s="5">
        <v>6814742268</v>
      </c>
      <c r="H984" s="5" t="s">
        <v>1564</v>
      </c>
      <c r="I984" s="5" t="s">
        <v>206</v>
      </c>
      <c r="J984" s="5" t="s">
        <v>80</v>
      </c>
      <c r="K984" s="5" t="s">
        <v>288</v>
      </c>
      <c r="L984" s="6">
        <v>38825</v>
      </c>
    </row>
    <row r="985" spans="1:12" x14ac:dyDescent="0.25">
      <c r="A985" s="5">
        <v>984</v>
      </c>
      <c r="B985" s="5" t="s">
        <v>540</v>
      </c>
      <c r="C985" s="5" t="s">
        <v>83</v>
      </c>
      <c r="D985" s="5" t="s">
        <v>43</v>
      </c>
      <c r="E985" s="5" t="s">
        <v>224</v>
      </c>
      <c r="F985" s="5" t="s">
        <v>1565</v>
      </c>
      <c r="G985" s="5">
        <v>9141114990</v>
      </c>
      <c r="H985" s="5" t="s">
        <v>1566</v>
      </c>
      <c r="I985" s="5" t="s">
        <v>206</v>
      </c>
      <c r="J985" s="5" t="s">
        <v>80</v>
      </c>
      <c r="K985" s="5" t="s">
        <v>105</v>
      </c>
      <c r="L985" s="6">
        <v>39069</v>
      </c>
    </row>
    <row r="986" spans="1:12" x14ac:dyDescent="0.25">
      <c r="A986" s="5">
        <v>985</v>
      </c>
      <c r="B986" s="5" t="s">
        <v>212</v>
      </c>
      <c r="C986" s="5" t="s">
        <v>83</v>
      </c>
      <c r="D986" s="5" t="s">
        <v>43</v>
      </c>
      <c r="E986" s="5" t="s">
        <v>314</v>
      </c>
      <c r="F986" s="5" t="s">
        <v>1504</v>
      </c>
      <c r="G986" s="5">
        <v>9697314243</v>
      </c>
      <c r="H986" s="5" t="s">
        <v>1567</v>
      </c>
      <c r="I986" s="5" t="s">
        <v>206</v>
      </c>
      <c r="J986" s="5" t="s">
        <v>80</v>
      </c>
      <c r="K986" s="5" t="s">
        <v>275</v>
      </c>
      <c r="L986" s="6">
        <v>38752</v>
      </c>
    </row>
    <row r="987" spans="1:12" x14ac:dyDescent="0.25">
      <c r="A987" s="5">
        <v>986</v>
      </c>
      <c r="B987" s="5" t="s">
        <v>74</v>
      </c>
      <c r="C987" s="5" t="s">
        <v>75</v>
      </c>
      <c r="D987" s="5" t="s">
        <v>43</v>
      </c>
      <c r="E987" s="5" t="s">
        <v>351</v>
      </c>
      <c r="F987" s="5" t="s">
        <v>1568</v>
      </c>
      <c r="G987" s="5">
        <v>9520245932</v>
      </c>
      <c r="H987" s="5" t="s">
        <v>1569</v>
      </c>
      <c r="I987" s="5" t="s">
        <v>247</v>
      </c>
      <c r="J987" s="5" t="s">
        <v>80</v>
      </c>
      <c r="K987" s="5" t="s">
        <v>288</v>
      </c>
      <c r="L987" s="6">
        <v>39107</v>
      </c>
    </row>
    <row r="988" spans="1:12" x14ac:dyDescent="0.25">
      <c r="A988" s="5">
        <v>987</v>
      </c>
      <c r="B988" s="5" t="s">
        <v>317</v>
      </c>
      <c r="C988" s="5" t="s">
        <v>83</v>
      </c>
      <c r="D988" s="5" t="s">
        <v>43</v>
      </c>
      <c r="E988" s="5" t="s">
        <v>314</v>
      </c>
      <c r="F988" s="5" t="s">
        <v>1532</v>
      </c>
      <c r="G988" s="5">
        <v>7923184509</v>
      </c>
      <c r="H988" s="5" t="s">
        <v>1570</v>
      </c>
      <c r="I988" s="5" t="s">
        <v>247</v>
      </c>
      <c r="J988" s="5" t="s">
        <v>80</v>
      </c>
      <c r="K988" s="5" t="s">
        <v>275</v>
      </c>
      <c r="L988" s="6">
        <v>39114</v>
      </c>
    </row>
    <row r="989" spans="1:12" x14ac:dyDescent="0.25">
      <c r="A989" s="5">
        <v>988</v>
      </c>
      <c r="B989" s="5" t="s">
        <v>134</v>
      </c>
      <c r="C989" s="5" t="s">
        <v>83</v>
      </c>
      <c r="D989" s="5" t="s">
        <v>43</v>
      </c>
      <c r="E989" s="5" t="s">
        <v>224</v>
      </c>
      <c r="F989" s="5" t="s">
        <v>1571</v>
      </c>
      <c r="G989" s="5">
        <v>8872339574</v>
      </c>
      <c r="H989" s="5" t="s">
        <v>1572</v>
      </c>
      <c r="I989" s="5" t="s">
        <v>247</v>
      </c>
      <c r="J989" s="5" t="s">
        <v>80</v>
      </c>
      <c r="K989" s="5" t="s">
        <v>105</v>
      </c>
      <c r="L989" s="6">
        <v>39306</v>
      </c>
    </row>
    <row r="990" spans="1:12" x14ac:dyDescent="0.25">
      <c r="A990" s="5">
        <v>989</v>
      </c>
      <c r="B990" s="5" t="s">
        <v>218</v>
      </c>
      <c r="C990" s="5" t="s">
        <v>83</v>
      </c>
      <c r="D990" s="5" t="s">
        <v>43</v>
      </c>
      <c r="E990" s="5" t="s">
        <v>306</v>
      </c>
      <c r="F990" s="5" t="s">
        <v>1573</v>
      </c>
      <c r="G990" s="5">
        <v>9375460344</v>
      </c>
      <c r="H990" s="5" t="s">
        <v>1574</v>
      </c>
      <c r="I990" s="5" t="s">
        <v>247</v>
      </c>
      <c r="J990" s="5" t="s">
        <v>129</v>
      </c>
      <c r="K990" s="5" t="s">
        <v>275</v>
      </c>
      <c r="L990" s="6">
        <v>39235</v>
      </c>
    </row>
    <row r="991" spans="1:12" x14ac:dyDescent="0.25">
      <c r="A991" s="5">
        <v>990</v>
      </c>
      <c r="B991" s="5" t="s">
        <v>228</v>
      </c>
      <c r="C991" s="5" t="s">
        <v>83</v>
      </c>
      <c r="D991" s="5" t="s">
        <v>43</v>
      </c>
      <c r="E991" s="5" t="s">
        <v>314</v>
      </c>
      <c r="F991" s="5" t="s">
        <v>1515</v>
      </c>
      <c r="G991" s="5">
        <v>9818256553</v>
      </c>
      <c r="H991" s="5" t="s">
        <v>1575</v>
      </c>
      <c r="I991" s="5" t="s">
        <v>247</v>
      </c>
      <c r="J991" s="5" t="s">
        <v>80</v>
      </c>
      <c r="K991" s="5" t="s">
        <v>275</v>
      </c>
      <c r="L991" s="6">
        <v>39368</v>
      </c>
    </row>
    <row r="992" spans="1:12" x14ac:dyDescent="0.25">
      <c r="A992" s="5">
        <v>991</v>
      </c>
      <c r="B992" s="5" t="s">
        <v>748</v>
      </c>
      <c r="C992" s="5" t="s">
        <v>83</v>
      </c>
      <c r="D992" s="5" t="s">
        <v>43</v>
      </c>
      <c r="E992" s="5" t="s">
        <v>285</v>
      </c>
      <c r="F992" s="5" t="s">
        <v>1576</v>
      </c>
      <c r="G992" s="5">
        <v>8619220104</v>
      </c>
      <c r="H992" s="5" t="s">
        <v>1577</v>
      </c>
      <c r="I992" s="5" t="s">
        <v>247</v>
      </c>
      <c r="J992" s="5" t="s">
        <v>80</v>
      </c>
      <c r="K992" s="5" t="s">
        <v>288</v>
      </c>
      <c r="L992" s="6">
        <v>39387</v>
      </c>
    </row>
    <row r="993" spans="1:12" x14ac:dyDescent="0.25">
      <c r="A993" s="5">
        <v>992</v>
      </c>
      <c r="B993" s="5" t="s">
        <v>239</v>
      </c>
      <c r="C993" s="5" t="s">
        <v>75</v>
      </c>
      <c r="D993" s="5" t="s">
        <v>43</v>
      </c>
      <c r="E993" s="5" t="s">
        <v>224</v>
      </c>
      <c r="F993" s="5" t="s">
        <v>1578</v>
      </c>
      <c r="G993" s="5">
        <v>6490975090</v>
      </c>
      <c r="H993" s="5" t="s">
        <v>1579</v>
      </c>
      <c r="I993" s="5" t="s">
        <v>247</v>
      </c>
      <c r="J993" s="5" t="s">
        <v>129</v>
      </c>
      <c r="K993" s="5" t="s">
        <v>105</v>
      </c>
      <c r="L993" s="6">
        <v>39259</v>
      </c>
    </row>
    <row r="994" spans="1:12" x14ac:dyDescent="0.25">
      <c r="A994" s="5">
        <v>993</v>
      </c>
      <c r="B994" s="5" t="s">
        <v>682</v>
      </c>
      <c r="C994" s="5" t="s">
        <v>83</v>
      </c>
      <c r="D994" s="5" t="s">
        <v>43</v>
      </c>
      <c r="E994" s="5" t="s">
        <v>268</v>
      </c>
      <c r="F994" s="5" t="s">
        <v>1580</v>
      </c>
      <c r="G994" s="5">
        <v>9592537334</v>
      </c>
      <c r="H994" s="5" t="s">
        <v>1581</v>
      </c>
      <c r="I994" s="5" t="s">
        <v>247</v>
      </c>
      <c r="J994" s="5" t="s">
        <v>80</v>
      </c>
      <c r="K994" s="5" t="s">
        <v>271</v>
      </c>
      <c r="L994" s="6">
        <v>39316</v>
      </c>
    </row>
    <row r="995" spans="1:12" x14ac:dyDescent="0.25">
      <c r="A995" s="5">
        <v>994</v>
      </c>
      <c r="B995" s="5" t="s">
        <v>406</v>
      </c>
      <c r="C995" s="5" t="s">
        <v>75</v>
      </c>
      <c r="D995" s="5" t="s">
        <v>43</v>
      </c>
      <c r="E995" s="5" t="s">
        <v>314</v>
      </c>
      <c r="F995" s="5" t="s">
        <v>1582</v>
      </c>
      <c r="G995" s="5">
        <v>7770596244</v>
      </c>
      <c r="H995" s="5" t="s">
        <v>1583</v>
      </c>
      <c r="I995" s="5" t="s">
        <v>247</v>
      </c>
      <c r="J995" s="5" t="s">
        <v>112</v>
      </c>
      <c r="K995" s="5" t="s">
        <v>275</v>
      </c>
      <c r="L995" s="6">
        <v>39360</v>
      </c>
    </row>
    <row r="996" spans="1:12" x14ac:dyDescent="0.25">
      <c r="A996" s="5">
        <v>995</v>
      </c>
      <c r="B996" s="5" t="s">
        <v>505</v>
      </c>
      <c r="C996" s="5" t="s">
        <v>83</v>
      </c>
      <c r="D996" s="5" t="s">
        <v>43</v>
      </c>
      <c r="E996" s="5" t="s">
        <v>106</v>
      </c>
      <c r="F996" s="5" t="s">
        <v>1584</v>
      </c>
      <c r="G996" s="5">
        <v>8373385292</v>
      </c>
      <c r="H996" s="5" t="s">
        <v>1585</v>
      </c>
      <c r="I996" s="5" t="s">
        <v>247</v>
      </c>
      <c r="J996" s="5" t="s">
        <v>129</v>
      </c>
      <c r="K996" s="5" t="s">
        <v>105</v>
      </c>
      <c r="L996" s="6">
        <v>39179</v>
      </c>
    </row>
    <row r="997" spans="1:12" x14ac:dyDescent="0.25">
      <c r="A997" s="5">
        <v>996</v>
      </c>
      <c r="B997" s="5" t="s">
        <v>442</v>
      </c>
      <c r="C997" s="5" t="s">
        <v>83</v>
      </c>
      <c r="D997" s="5" t="s">
        <v>43</v>
      </c>
      <c r="E997" s="5" t="s">
        <v>308</v>
      </c>
      <c r="F997" s="5" t="s">
        <v>1539</v>
      </c>
      <c r="G997" s="5">
        <v>8530455155</v>
      </c>
      <c r="H997" s="5" t="s">
        <v>1586</v>
      </c>
      <c r="I997" s="5" t="s">
        <v>247</v>
      </c>
      <c r="J997" s="5" t="s">
        <v>112</v>
      </c>
      <c r="K997" s="5" t="s">
        <v>288</v>
      </c>
      <c r="L997" s="6">
        <v>39182</v>
      </c>
    </row>
    <row r="998" spans="1:12" x14ac:dyDescent="0.25">
      <c r="A998" s="5">
        <v>997</v>
      </c>
      <c r="B998" s="5" t="s">
        <v>476</v>
      </c>
      <c r="C998" s="5" t="s">
        <v>83</v>
      </c>
      <c r="D998" s="5" t="s">
        <v>43</v>
      </c>
      <c r="E998" s="5" t="s">
        <v>272</v>
      </c>
      <c r="F998" s="5" t="s">
        <v>1587</v>
      </c>
      <c r="G998" s="5">
        <v>7552811547</v>
      </c>
      <c r="H998" s="5" t="s">
        <v>1588</v>
      </c>
      <c r="I998" s="5" t="s">
        <v>247</v>
      </c>
      <c r="J998" s="5" t="s">
        <v>80</v>
      </c>
      <c r="K998" s="5" t="s">
        <v>275</v>
      </c>
      <c r="L998" s="6">
        <v>39249</v>
      </c>
    </row>
    <row r="999" spans="1:12" x14ac:dyDescent="0.25">
      <c r="A999" s="5">
        <v>998</v>
      </c>
      <c r="B999" s="5" t="s">
        <v>317</v>
      </c>
      <c r="C999" s="5" t="s">
        <v>83</v>
      </c>
      <c r="D999" s="5" t="s">
        <v>43</v>
      </c>
      <c r="E999" s="5" t="s">
        <v>131</v>
      </c>
      <c r="F999" s="5" t="s">
        <v>1532</v>
      </c>
      <c r="G999" s="5">
        <v>7106984277</v>
      </c>
      <c r="H999" s="5" t="s">
        <v>1589</v>
      </c>
      <c r="I999" s="5" t="s">
        <v>247</v>
      </c>
      <c r="J999" s="5" t="s">
        <v>80</v>
      </c>
      <c r="K999" s="5" t="s">
        <v>105</v>
      </c>
      <c r="L999" s="6">
        <v>39219</v>
      </c>
    </row>
    <row r="1000" spans="1:12" x14ac:dyDescent="0.25">
      <c r="A1000" s="5">
        <v>999</v>
      </c>
      <c r="B1000" s="5" t="s">
        <v>387</v>
      </c>
      <c r="C1000" s="5" t="s">
        <v>83</v>
      </c>
      <c r="D1000" s="5" t="s">
        <v>43</v>
      </c>
      <c r="E1000" s="5" t="s">
        <v>285</v>
      </c>
      <c r="F1000" s="5" t="s">
        <v>1590</v>
      </c>
      <c r="G1000" s="5">
        <v>9829128501</v>
      </c>
      <c r="H1000" s="5" t="s">
        <v>1591</v>
      </c>
      <c r="I1000" s="5" t="s">
        <v>247</v>
      </c>
      <c r="J1000" s="5" t="s">
        <v>129</v>
      </c>
      <c r="K1000" s="5" t="s">
        <v>288</v>
      </c>
      <c r="L1000" s="6">
        <v>39180</v>
      </c>
    </row>
    <row r="1001" spans="1:12" x14ac:dyDescent="0.25">
      <c r="A1001" s="5">
        <v>1000</v>
      </c>
      <c r="B1001" s="5" t="s">
        <v>113</v>
      </c>
      <c r="C1001" s="5" t="s">
        <v>75</v>
      </c>
      <c r="D1001" s="5" t="s">
        <v>43</v>
      </c>
      <c r="E1001" s="5" t="s">
        <v>300</v>
      </c>
      <c r="F1001" s="5" t="s">
        <v>1592</v>
      </c>
      <c r="G1001" s="5">
        <v>8142382495</v>
      </c>
      <c r="H1001" s="5" t="s">
        <v>1593</v>
      </c>
      <c r="I1001" s="5" t="s">
        <v>247</v>
      </c>
      <c r="J1001" s="5" t="s">
        <v>80</v>
      </c>
      <c r="K1001" s="5" t="s">
        <v>275</v>
      </c>
      <c r="L1001" s="6">
        <v>39120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>
      <selection activeCell="G11" sqref="A1:G11"/>
    </sheetView>
  </sheetViews>
  <sheetFormatPr defaultRowHeight="15" x14ac:dyDescent="0.25"/>
  <cols>
    <col min="1" max="1" width="12.140625" style="5" bestFit="1" customWidth="1"/>
    <col min="2" max="2" width="15.7109375" style="5" bestFit="1" customWidth="1"/>
    <col min="3" max="3" width="18.28515625" style="5" bestFit="1" customWidth="1"/>
    <col min="4" max="4" width="14.7109375" style="5" bestFit="1" customWidth="1"/>
    <col min="5" max="5" width="16.28515625" style="5" bestFit="1" customWidth="1"/>
    <col min="6" max="6" width="11" style="5" bestFit="1" customWidth="1"/>
    <col min="7" max="7" width="19.42578125" style="5" bestFit="1" customWidth="1"/>
    <col min="8" max="16384" width="9.140625" style="5"/>
  </cols>
  <sheetData>
    <row r="1" spans="1:7" x14ac:dyDescent="0.25">
      <c r="A1" s="4" t="s">
        <v>1594</v>
      </c>
      <c r="B1" s="4" t="s">
        <v>1595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</v>
      </c>
    </row>
    <row r="2" spans="1:7" x14ac:dyDescent="0.25">
      <c r="A2" s="5">
        <v>1</v>
      </c>
      <c r="B2" t="s">
        <v>1596</v>
      </c>
      <c r="C2" t="s">
        <v>1597</v>
      </c>
      <c r="D2" t="s">
        <v>29</v>
      </c>
      <c r="E2">
        <v>1993</v>
      </c>
      <c r="F2" s="5">
        <v>6543210987</v>
      </c>
      <c r="G2" t="s">
        <v>1616</v>
      </c>
    </row>
    <row r="3" spans="1:7" x14ac:dyDescent="0.25">
      <c r="A3" s="5">
        <v>2</v>
      </c>
      <c r="B3" t="s">
        <v>1598</v>
      </c>
      <c r="C3" t="s">
        <v>1599</v>
      </c>
      <c r="D3" t="s">
        <v>33</v>
      </c>
      <c r="E3">
        <v>1971</v>
      </c>
      <c r="F3" s="5">
        <v>6677885544</v>
      </c>
      <c r="G3" t="s">
        <v>1617</v>
      </c>
    </row>
    <row r="4" spans="1:7" x14ac:dyDescent="0.25">
      <c r="A4" s="5">
        <v>3</v>
      </c>
      <c r="B4" t="s">
        <v>1600</v>
      </c>
      <c r="C4" t="s">
        <v>1601</v>
      </c>
      <c r="D4" t="s">
        <v>37</v>
      </c>
      <c r="E4">
        <v>1983</v>
      </c>
      <c r="F4" s="5">
        <v>8765432109</v>
      </c>
      <c r="G4" t="s">
        <v>1618</v>
      </c>
    </row>
    <row r="5" spans="1:7" x14ac:dyDescent="0.25">
      <c r="A5" s="5">
        <v>4</v>
      </c>
      <c r="B5" t="s">
        <v>1602</v>
      </c>
      <c r="C5" t="s">
        <v>1603</v>
      </c>
      <c r="D5" t="s">
        <v>41</v>
      </c>
      <c r="E5">
        <v>1995</v>
      </c>
      <c r="F5" s="5">
        <v>7654321098</v>
      </c>
      <c r="G5" t="s">
        <v>1619</v>
      </c>
    </row>
    <row r="6" spans="1:7" x14ac:dyDescent="0.25">
      <c r="A6" s="5">
        <v>5</v>
      </c>
      <c r="B6" t="s">
        <v>1604</v>
      </c>
      <c r="C6" t="s">
        <v>1605</v>
      </c>
      <c r="D6" t="s">
        <v>45</v>
      </c>
      <c r="E6">
        <v>1983</v>
      </c>
      <c r="F6" s="5">
        <v>8899776655</v>
      </c>
      <c r="G6" t="s">
        <v>1620</v>
      </c>
    </row>
    <row r="7" spans="1:7" x14ac:dyDescent="0.25">
      <c r="A7" s="5">
        <v>6</v>
      </c>
      <c r="B7" t="s">
        <v>1606</v>
      </c>
      <c r="C7" t="s">
        <v>1607</v>
      </c>
      <c r="D7" t="s">
        <v>49</v>
      </c>
      <c r="E7">
        <v>1993</v>
      </c>
      <c r="F7" s="5">
        <v>4455663322</v>
      </c>
      <c r="G7" t="s">
        <v>1621</v>
      </c>
    </row>
    <row r="8" spans="1:7" x14ac:dyDescent="0.25">
      <c r="A8" s="5">
        <v>7</v>
      </c>
      <c r="B8" t="s">
        <v>1608</v>
      </c>
      <c r="C8" t="s">
        <v>1609</v>
      </c>
      <c r="D8" t="s">
        <v>53</v>
      </c>
      <c r="E8">
        <v>1978</v>
      </c>
      <c r="F8" s="5">
        <v>7788996655</v>
      </c>
      <c r="G8" t="s">
        <v>1622</v>
      </c>
    </row>
    <row r="9" spans="1:7" x14ac:dyDescent="0.25">
      <c r="A9" s="5">
        <v>8</v>
      </c>
      <c r="B9" t="s">
        <v>1610</v>
      </c>
      <c r="C9" t="s">
        <v>1611</v>
      </c>
      <c r="D9" t="s">
        <v>57</v>
      </c>
      <c r="E9">
        <v>1999</v>
      </c>
      <c r="F9" s="5">
        <v>9988776655</v>
      </c>
      <c r="G9" t="s">
        <v>1623</v>
      </c>
    </row>
    <row r="10" spans="1:7" x14ac:dyDescent="0.25">
      <c r="A10" s="5">
        <v>9</v>
      </c>
      <c r="B10" t="s">
        <v>1612</v>
      </c>
      <c r="C10" t="s">
        <v>1613</v>
      </c>
      <c r="D10" t="s">
        <v>60</v>
      </c>
      <c r="E10">
        <v>1984</v>
      </c>
      <c r="F10" s="5">
        <v>9876543210</v>
      </c>
      <c r="G10" t="s">
        <v>1624</v>
      </c>
    </row>
    <row r="11" spans="1:7" x14ac:dyDescent="0.25">
      <c r="A11" s="5">
        <v>10</v>
      </c>
      <c r="B11" t="s">
        <v>1614</v>
      </c>
      <c r="C11" t="s">
        <v>1615</v>
      </c>
      <c r="D11" t="s">
        <v>64</v>
      </c>
      <c r="E11">
        <v>1971</v>
      </c>
      <c r="F11" s="5">
        <v>5566774433</v>
      </c>
      <c r="G11" t="s">
        <v>1625</v>
      </c>
    </row>
    <row r="14" spans="1:7" x14ac:dyDescent="0.25">
      <c r="B14"/>
    </row>
    <row r="61" spans="2:2" x14ac:dyDescent="0.25">
      <c r="B6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selection activeCell="E14" sqref="E14"/>
    </sheetView>
  </sheetViews>
  <sheetFormatPr defaultRowHeight="15" x14ac:dyDescent="0.25"/>
  <cols>
    <col min="1" max="1" width="10.85546875" bestFit="1" customWidth="1"/>
    <col min="2" max="2" width="15.42578125" bestFit="1" customWidth="1"/>
    <col min="3" max="3" width="7.7109375" bestFit="1" customWidth="1"/>
    <col min="4" max="4" width="15.7109375" bestFit="1" customWidth="1"/>
    <col min="5" max="5" width="14" bestFit="1" customWidth="1"/>
    <col min="6" max="6" width="27.85546875" bestFit="1" customWidth="1"/>
    <col min="7" max="7" width="15.140625" bestFit="1" customWidth="1"/>
    <col min="8" max="8" width="29.7109375" bestFit="1" customWidth="1"/>
    <col min="9" max="9" width="14.7109375" bestFit="1" customWidth="1"/>
    <col min="10" max="10" width="13.85546875" bestFit="1" customWidth="1"/>
    <col min="11" max="11" width="10.42578125" bestFit="1" customWidth="1"/>
  </cols>
  <sheetData>
    <row r="1" spans="1:11" s="4" customFormat="1" x14ac:dyDescent="0.25">
      <c r="A1" t="s">
        <v>1629</v>
      </c>
      <c r="B1" t="s">
        <v>14</v>
      </c>
      <c r="C1" t="s">
        <v>67</v>
      </c>
      <c r="D1" t="s">
        <v>1595</v>
      </c>
      <c r="E1" t="s">
        <v>1626</v>
      </c>
      <c r="F1" t="s">
        <v>2</v>
      </c>
      <c r="G1" t="s">
        <v>69</v>
      </c>
      <c r="H1" t="s">
        <v>20</v>
      </c>
      <c r="I1" t="s">
        <v>1627</v>
      </c>
      <c r="J1" t="s">
        <v>1628</v>
      </c>
      <c r="K1" t="s">
        <v>73</v>
      </c>
    </row>
    <row r="2" spans="1:11" s="5" customFormat="1" x14ac:dyDescent="0.25">
      <c r="A2">
        <v>1</v>
      </c>
      <c r="B2" t="s">
        <v>1630</v>
      </c>
      <c r="C2" t="s">
        <v>83</v>
      </c>
      <c r="D2" t="s">
        <v>1598</v>
      </c>
      <c r="E2" s="7">
        <v>41937</v>
      </c>
      <c r="F2" t="s">
        <v>1631</v>
      </c>
      <c r="G2" t="s">
        <v>1632</v>
      </c>
      <c r="H2" t="s">
        <v>1633</v>
      </c>
      <c r="I2" t="s">
        <v>1634</v>
      </c>
      <c r="J2" t="s">
        <v>397</v>
      </c>
      <c r="K2" s="7">
        <v>29858</v>
      </c>
    </row>
    <row r="3" spans="1:11" s="5" customFormat="1" x14ac:dyDescent="0.25">
      <c r="A3">
        <v>2</v>
      </c>
      <c r="B3" t="s">
        <v>1635</v>
      </c>
      <c r="C3" t="s">
        <v>75</v>
      </c>
      <c r="D3" t="s">
        <v>1602</v>
      </c>
      <c r="E3" s="7">
        <v>41651</v>
      </c>
      <c r="F3" t="s">
        <v>1636</v>
      </c>
      <c r="G3" t="s">
        <v>1637</v>
      </c>
      <c r="H3" t="s">
        <v>1638</v>
      </c>
      <c r="I3" t="s">
        <v>1639</v>
      </c>
      <c r="J3" t="s">
        <v>1640</v>
      </c>
      <c r="K3" s="7">
        <v>26531</v>
      </c>
    </row>
    <row r="4" spans="1:11" x14ac:dyDescent="0.25">
      <c r="A4">
        <v>3</v>
      </c>
      <c r="B4" t="s">
        <v>1641</v>
      </c>
      <c r="C4" t="s">
        <v>75</v>
      </c>
      <c r="D4" t="s">
        <v>1612</v>
      </c>
      <c r="E4" s="7">
        <v>45593</v>
      </c>
      <c r="F4" t="s">
        <v>1642</v>
      </c>
      <c r="G4" t="s">
        <v>1643</v>
      </c>
      <c r="H4" t="s">
        <v>1644</v>
      </c>
      <c r="I4" t="s">
        <v>1645</v>
      </c>
      <c r="J4" t="s">
        <v>1640</v>
      </c>
      <c r="K4" s="7">
        <v>35651</v>
      </c>
    </row>
    <row r="5" spans="1:11" x14ac:dyDescent="0.25">
      <c r="A5">
        <v>4</v>
      </c>
      <c r="B5" t="s">
        <v>1646</v>
      </c>
      <c r="C5" t="s">
        <v>83</v>
      </c>
      <c r="D5" t="s">
        <v>1610</v>
      </c>
      <c r="E5" s="7">
        <v>40296</v>
      </c>
      <c r="F5" t="s">
        <v>1647</v>
      </c>
      <c r="G5">
        <f>1-820-811-321</f>
        <v>-1951</v>
      </c>
      <c r="H5" t="s">
        <v>1648</v>
      </c>
      <c r="I5" t="s">
        <v>1634</v>
      </c>
      <c r="J5" t="s">
        <v>1649</v>
      </c>
      <c r="K5" s="7">
        <v>23577</v>
      </c>
    </row>
    <row r="6" spans="1:11" x14ac:dyDescent="0.25">
      <c r="A6">
        <v>5</v>
      </c>
      <c r="B6" t="s">
        <v>1650</v>
      </c>
      <c r="C6" t="s">
        <v>83</v>
      </c>
      <c r="D6" t="s">
        <v>1596</v>
      </c>
      <c r="E6" s="7">
        <v>41534</v>
      </c>
      <c r="F6" t="s">
        <v>1651</v>
      </c>
      <c r="G6" t="s">
        <v>1652</v>
      </c>
      <c r="H6" t="s">
        <v>1653</v>
      </c>
      <c r="I6" t="s">
        <v>1654</v>
      </c>
      <c r="J6" t="s">
        <v>1649</v>
      </c>
      <c r="K6" s="7">
        <v>33711</v>
      </c>
    </row>
    <row r="7" spans="1:11" x14ac:dyDescent="0.25">
      <c r="A7">
        <v>6</v>
      </c>
      <c r="B7" t="s">
        <v>1655</v>
      </c>
      <c r="C7" t="s">
        <v>75</v>
      </c>
      <c r="D7" t="s">
        <v>1608</v>
      </c>
      <c r="E7" s="7">
        <v>41726</v>
      </c>
      <c r="F7" t="s">
        <v>1656</v>
      </c>
      <c r="G7" t="s">
        <v>1657</v>
      </c>
      <c r="H7" t="s">
        <v>1658</v>
      </c>
      <c r="I7" t="s">
        <v>1645</v>
      </c>
      <c r="J7" t="s">
        <v>1640</v>
      </c>
      <c r="K7" s="7">
        <v>31977</v>
      </c>
    </row>
    <row r="8" spans="1:11" x14ac:dyDescent="0.25">
      <c r="A8">
        <v>7</v>
      </c>
      <c r="B8" t="s">
        <v>1659</v>
      </c>
      <c r="C8" t="s">
        <v>75</v>
      </c>
      <c r="D8" t="s">
        <v>1602</v>
      </c>
      <c r="E8" s="7">
        <v>41182</v>
      </c>
      <c r="F8" t="s">
        <v>1660</v>
      </c>
      <c r="G8" t="s">
        <v>1661</v>
      </c>
      <c r="H8" t="s">
        <v>1662</v>
      </c>
      <c r="I8" t="s">
        <v>1634</v>
      </c>
      <c r="J8" t="s">
        <v>1663</v>
      </c>
      <c r="K8" s="7">
        <v>29945</v>
      </c>
    </row>
    <row r="9" spans="1:11" x14ac:dyDescent="0.25">
      <c r="A9">
        <v>8</v>
      </c>
      <c r="B9" t="s">
        <v>1664</v>
      </c>
      <c r="C9" t="s">
        <v>83</v>
      </c>
      <c r="D9" t="s">
        <v>1596</v>
      </c>
      <c r="E9" s="7">
        <v>43469</v>
      </c>
      <c r="F9" t="s">
        <v>1665</v>
      </c>
      <c r="G9" t="s">
        <v>1666</v>
      </c>
      <c r="H9" t="s">
        <v>1667</v>
      </c>
      <c r="I9" t="s">
        <v>1645</v>
      </c>
      <c r="J9" t="s">
        <v>467</v>
      </c>
      <c r="K9" s="7">
        <v>24483</v>
      </c>
    </row>
    <row r="10" spans="1:11" x14ac:dyDescent="0.25">
      <c r="A10">
        <v>9</v>
      </c>
      <c r="B10" t="s">
        <v>1668</v>
      </c>
      <c r="C10" t="s">
        <v>75</v>
      </c>
      <c r="D10" t="s">
        <v>1598</v>
      </c>
      <c r="E10" s="7">
        <v>45382</v>
      </c>
      <c r="F10" t="s">
        <v>1669</v>
      </c>
      <c r="G10">
        <v>7338754560</v>
      </c>
      <c r="H10" t="s">
        <v>1670</v>
      </c>
      <c r="I10" t="s">
        <v>1634</v>
      </c>
      <c r="J10" t="s">
        <v>467</v>
      </c>
      <c r="K10" s="7">
        <v>29538</v>
      </c>
    </row>
    <row r="11" spans="1:11" x14ac:dyDescent="0.25">
      <c r="A11">
        <v>10</v>
      </c>
      <c r="B11" t="s">
        <v>1671</v>
      </c>
      <c r="C11" t="s">
        <v>83</v>
      </c>
      <c r="D11" t="s">
        <v>1612</v>
      </c>
      <c r="E11" s="7">
        <v>38573</v>
      </c>
      <c r="F11" t="s">
        <v>1672</v>
      </c>
      <c r="G11" t="s">
        <v>1673</v>
      </c>
      <c r="H11" t="s">
        <v>1674</v>
      </c>
      <c r="I11" t="s">
        <v>1645</v>
      </c>
      <c r="J11" t="s">
        <v>1640</v>
      </c>
      <c r="K11" s="7">
        <v>33874</v>
      </c>
    </row>
    <row r="12" spans="1:11" x14ac:dyDescent="0.25">
      <c r="A12">
        <v>11</v>
      </c>
      <c r="B12" t="s">
        <v>1675</v>
      </c>
      <c r="C12" t="s">
        <v>83</v>
      </c>
      <c r="D12" t="s">
        <v>1600</v>
      </c>
      <c r="E12" s="7">
        <v>45572</v>
      </c>
      <c r="F12" t="s">
        <v>1676</v>
      </c>
      <c r="G12" t="s">
        <v>1677</v>
      </c>
      <c r="H12" t="s">
        <v>1678</v>
      </c>
      <c r="I12" t="s">
        <v>1639</v>
      </c>
      <c r="J12" t="s">
        <v>397</v>
      </c>
      <c r="K12" s="7">
        <v>33951</v>
      </c>
    </row>
    <row r="13" spans="1:11" x14ac:dyDescent="0.25">
      <c r="A13">
        <v>12</v>
      </c>
      <c r="B13" t="s">
        <v>1679</v>
      </c>
      <c r="C13" t="s">
        <v>75</v>
      </c>
      <c r="D13" t="s">
        <v>1606</v>
      </c>
      <c r="E13" s="7">
        <v>41785</v>
      </c>
      <c r="F13" t="s">
        <v>1680</v>
      </c>
      <c r="G13" t="s">
        <v>1681</v>
      </c>
      <c r="H13" t="s">
        <v>1682</v>
      </c>
      <c r="I13" t="s">
        <v>1654</v>
      </c>
      <c r="J13" t="s">
        <v>1640</v>
      </c>
      <c r="K13" s="7">
        <v>26050</v>
      </c>
    </row>
    <row r="14" spans="1:11" x14ac:dyDescent="0.25">
      <c r="A14">
        <v>13</v>
      </c>
      <c r="B14" t="s">
        <v>1683</v>
      </c>
      <c r="C14" t="s">
        <v>75</v>
      </c>
      <c r="D14" t="s">
        <v>1610</v>
      </c>
      <c r="E14" s="7">
        <v>39682</v>
      </c>
      <c r="F14" t="s">
        <v>1684</v>
      </c>
      <c r="G14" t="s">
        <v>1685</v>
      </c>
      <c r="H14" t="s">
        <v>1686</v>
      </c>
      <c r="I14" t="s">
        <v>1654</v>
      </c>
      <c r="J14" t="s">
        <v>1663</v>
      </c>
      <c r="K14" s="7">
        <v>27044</v>
      </c>
    </row>
    <row r="15" spans="1:11" x14ac:dyDescent="0.25">
      <c r="A15">
        <v>14</v>
      </c>
      <c r="B15" t="s">
        <v>1687</v>
      </c>
      <c r="C15" t="s">
        <v>83</v>
      </c>
      <c r="D15" t="s">
        <v>1608</v>
      </c>
      <c r="E15" s="7">
        <v>41892</v>
      </c>
      <c r="F15" t="s">
        <v>1688</v>
      </c>
      <c r="G15" t="s">
        <v>1689</v>
      </c>
      <c r="H15" t="s">
        <v>1690</v>
      </c>
      <c r="I15" t="s">
        <v>1645</v>
      </c>
      <c r="J15" t="s">
        <v>1663</v>
      </c>
      <c r="K15" s="7">
        <v>26332</v>
      </c>
    </row>
    <row r="16" spans="1:11" x14ac:dyDescent="0.25">
      <c r="A16">
        <v>15</v>
      </c>
      <c r="B16" t="s">
        <v>1691</v>
      </c>
      <c r="C16" t="s">
        <v>83</v>
      </c>
      <c r="D16" t="s">
        <v>1608</v>
      </c>
      <c r="E16" s="7">
        <v>42812</v>
      </c>
      <c r="F16" t="s">
        <v>1692</v>
      </c>
      <c r="G16" t="s">
        <v>1693</v>
      </c>
      <c r="H16" t="s">
        <v>1694</v>
      </c>
      <c r="I16" t="s">
        <v>1634</v>
      </c>
      <c r="J16" t="s">
        <v>1663</v>
      </c>
      <c r="K16" s="7">
        <v>29950</v>
      </c>
    </row>
    <row r="17" spans="1:11" x14ac:dyDescent="0.25">
      <c r="A17">
        <v>16</v>
      </c>
      <c r="B17" t="s">
        <v>1695</v>
      </c>
      <c r="C17" t="s">
        <v>75</v>
      </c>
      <c r="D17" t="s">
        <v>1598</v>
      </c>
      <c r="E17" s="7">
        <v>40590</v>
      </c>
      <c r="F17" t="s">
        <v>1696</v>
      </c>
      <c r="G17" t="s">
        <v>1697</v>
      </c>
      <c r="H17" t="s">
        <v>1698</v>
      </c>
      <c r="I17" t="s">
        <v>1654</v>
      </c>
      <c r="J17" t="s">
        <v>1663</v>
      </c>
      <c r="K17" s="7">
        <v>25601</v>
      </c>
    </row>
    <row r="18" spans="1:11" x14ac:dyDescent="0.25">
      <c r="A18">
        <v>17</v>
      </c>
      <c r="B18" t="s">
        <v>1699</v>
      </c>
      <c r="C18" t="s">
        <v>83</v>
      </c>
      <c r="D18" t="s">
        <v>1596</v>
      </c>
      <c r="E18" s="7">
        <v>41054</v>
      </c>
      <c r="F18" t="s">
        <v>1700</v>
      </c>
      <c r="G18">
        <v>5188748499</v>
      </c>
      <c r="H18" t="s">
        <v>1701</v>
      </c>
      <c r="I18" t="s">
        <v>1634</v>
      </c>
      <c r="J18" t="s">
        <v>1640</v>
      </c>
      <c r="K18" s="7">
        <v>30255</v>
      </c>
    </row>
    <row r="19" spans="1:11" x14ac:dyDescent="0.25">
      <c r="A19">
        <v>18</v>
      </c>
      <c r="B19" t="s">
        <v>1702</v>
      </c>
      <c r="C19" t="s">
        <v>83</v>
      </c>
      <c r="D19" t="s">
        <v>1608</v>
      </c>
      <c r="E19" s="7">
        <v>42807</v>
      </c>
      <c r="F19" t="s">
        <v>1703</v>
      </c>
      <c r="G19" t="s">
        <v>1704</v>
      </c>
      <c r="H19" t="s">
        <v>1705</v>
      </c>
      <c r="I19" t="s">
        <v>1634</v>
      </c>
      <c r="J19" t="s">
        <v>1663</v>
      </c>
      <c r="K19" s="7">
        <v>34171</v>
      </c>
    </row>
    <row r="20" spans="1:11" x14ac:dyDescent="0.25">
      <c r="A20">
        <v>19</v>
      </c>
      <c r="B20" t="s">
        <v>1706</v>
      </c>
      <c r="C20" t="s">
        <v>83</v>
      </c>
      <c r="D20" t="s">
        <v>1612</v>
      </c>
      <c r="E20" s="7">
        <v>39408</v>
      </c>
      <c r="F20" t="s">
        <v>1707</v>
      </c>
      <c r="G20" t="s">
        <v>1708</v>
      </c>
      <c r="H20" t="s">
        <v>1709</v>
      </c>
      <c r="I20" t="s">
        <v>1645</v>
      </c>
      <c r="J20" t="s">
        <v>1649</v>
      </c>
      <c r="K20" s="7">
        <v>31740</v>
      </c>
    </row>
    <row r="21" spans="1:11" x14ac:dyDescent="0.25">
      <c r="A21">
        <v>20</v>
      </c>
      <c r="B21" t="s">
        <v>1710</v>
      </c>
      <c r="C21" t="s">
        <v>75</v>
      </c>
      <c r="D21" t="s">
        <v>1606</v>
      </c>
      <c r="E21" s="7">
        <v>40733</v>
      </c>
      <c r="F21" t="s">
        <v>1711</v>
      </c>
      <c r="G21" t="s">
        <v>1712</v>
      </c>
      <c r="H21" t="s">
        <v>1713</v>
      </c>
      <c r="I21" t="s">
        <v>1634</v>
      </c>
      <c r="J21" t="s">
        <v>1640</v>
      </c>
      <c r="K21" s="7">
        <v>35104</v>
      </c>
    </row>
    <row r="22" spans="1:11" x14ac:dyDescent="0.25">
      <c r="A22">
        <v>21</v>
      </c>
      <c r="B22" t="s">
        <v>1714</v>
      </c>
      <c r="C22" t="s">
        <v>75</v>
      </c>
      <c r="D22" t="s">
        <v>1612</v>
      </c>
      <c r="E22" s="7">
        <v>45619</v>
      </c>
      <c r="F22" t="s">
        <v>1715</v>
      </c>
      <c r="G22" t="s">
        <v>1716</v>
      </c>
      <c r="H22" t="s">
        <v>1717</v>
      </c>
      <c r="I22" t="s">
        <v>1654</v>
      </c>
      <c r="J22" t="s">
        <v>1640</v>
      </c>
      <c r="K22" s="7">
        <v>29939</v>
      </c>
    </row>
    <row r="23" spans="1:11" x14ac:dyDescent="0.25">
      <c r="A23">
        <v>22</v>
      </c>
      <c r="B23" t="s">
        <v>1718</v>
      </c>
      <c r="C23" t="s">
        <v>83</v>
      </c>
      <c r="D23" t="s">
        <v>1608</v>
      </c>
      <c r="E23" s="7">
        <v>44836</v>
      </c>
      <c r="F23" t="s">
        <v>1719</v>
      </c>
      <c r="G23" t="s">
        <v>1720</v>
      </c>
      <c r="H23" t="s">
        <v>1721</v>
      </c>
      <c r="I23" t="s">
        <v>1645</v>
      </c>
      <c r="J23" t="s">
        <v>1663</v>
      </c>
      <c r="K23" s="7">
        <v>29521</v>
      </c>
    </row>
    <row r="24" spans="1:11" x14ac:dyDescent="0.25">
      <c r="A24">
        <v>23</v>
      </c>
      <c r="B24" t="s">
        <v>1722</v>
      </c>
      <c r="C24" t="s">
        <v>83</v>
      </c>
      <c r="D24" t="s">
        <v>1598</v>
      </c>
      <c r="E24" s="7">
        <v>41485</v>
      </c>
      <c r="F24" t="s">
        <v>1723</v>
      </c>
      <c r="G24" t="s">
        <v>1724</v>
      </c>
      <c r="H24" t="s">
        <v>1725</v>
      </c>
      <c r="I24" t="s">
        <v>1645</v>
      </c>
      <c r="J24" t="s">
        <v>397</v>
      </c>
      <c r="K24" s="7">
        <v>36715</v>
      </c>
    </row>
    <row r="25" spans="1:11" x14ac:dyDescent="0.25">
      <c r="A25">
        <v>24</v>
      </c>
      <c r="B25" t="s">
        <v>1726</v>
      </c>
      <c r="C25" t="s">
        <v>83</v>
      </c>
      <c r="D25" t="s">
        <v>1614</v>
      </c>
      <c r="E25" s="7">
        <v>44103</v>
      </c>
      <c r="F25" t="s">
        <v>1727</v>
      </c>
      <c r="G25" t="s">
        <v>1728</v>
      </c>
      <c r="H25" t="s">
        <v>1729</v>
      </c>
      <c r="I25" t="s">
        <v>1634</v>
      </c>
      <c r="J25" t="s">
        <v>467</v>
      </c>
      <c r="K25" s="7">
        <v>24523</v>
      </c>
    </row>
    <row r="26" spans="1:11" x14ac:dyDescent="0.25">
      <c r="A26">
        <v>25</v>
      </c>
      <c r="B26" t="s">
        <v>1730</v>
      </c>
      <c r="C26" t="s">
        <v>75</v>
      </c>
      <c r="D26" t="s">
        <v>1600</v>
      </c>
      <c r="E26" s="7">
        <v>41190</v>
      </c>
      <c r="F26" t="s">
        <v>1731</v>
      </c>
      <c r="G26" t="s">
        <v>1732</v>
      </c>
      <c r="H26" t="s">
        <v>1733</v>
      </c>
      <c r="I26" t="s">
        <v>1645</v>
      </c>
      <c r="J26" t="s">
        <v>1640</v>
      </c>
      <c r="K26" s="7">
        <v>27080</v>
      </c>
    </row>
    <row r="27" spans="1:11" x14ac:dyDescent="0.25">
      <c r="A27">
        <v>26</v>
      </c>
      <c r="B27" t="s">
        <v>1734</v>
      </c>
      <c r="C27" t="s">
        <v>83</v>
      </c>
      <c r="D27" t="s">
        <v>1596</v>
      </c>
      <c r="E27" s="7">
        <v>39070</v>
      </c>
      <c r="F27" t="s">
        <v>1735</v>
      </c>
      <c r="G27" t="s">
        <v>1736</v>
      </c>
      <c r="H27" t="s">
        <v>1737</v>
      </c>
      <c r="I27" t="s">
        <v>1738</v>
      </c>
      <c r="J27" t="s">
        <v>467</v>
      </c>
      <c r="K27" s="7">
        <v>34524</v>
      </c>
    </row>
    <row r="28" spans="1:11" x14ac:dyDescent="0.25">
      <c r="A28">
        <v>27</v>
      </c>
      <c r="B28" t="s">
        <v>1739</v>
      </c>
      <c r="C28" t="s">
        <v>75</v>
      </c>
      <c r="D28" t="s">
        <v>1596</v>
      </c>
      <c r="E28" s="7">
        <v>40238</v>
      </c>
      <c r="F28" t="s">
        <v>1740</v>
      </c>
      <c r="G28" t="s">
        <v>1741</v>
      </c>
      <c r="H28" t="s">
        <v>1742</v>
      </c>
      <c r="I28" t="s">
        <v>1645</v>
      </c>
      <c r="J28" t="s">
        <v>1663</v>
      </c>
      <c r="K28" s="7">
        <v>29229</v>
      </c>
    </row>
    <row r="29" spans="1:11" x14ac:dyDescent="0.25">
      <c r="A29">
        <v>28</v>
      </c>
      <c r="B29" t="s">
        <v>1743</v>
      </c>
      <c r="C29" t="s">
        <v>83</v>
      </c>
      <c r="D29" t="s">
        <v>1614</v>
      </c>
      <c r="E29" s="7">
        <v>43930</v>
      </c>
      <c r="F29" t="s">
        <v>1744</v>
      </c>
      <c r="G29">
        <v>9078409604</v>
      </c>
      <c r="H29" t="s">
        <v>1745</v>
      </c>
      <c r="I29" t="s">
        <v>1738</v>
      </c>
      <c r="J29" t="s">
        <v>1640</v>
      </c>
      <c r="K29" s="7">
        <v>25786</v>
      </c>
    </row>
    <row r="30" spans="1:11" x14ac:dyDescent="0.25">
      <c r="A30">
        <v>29</v>
      </c>
      <c r="B30" t="s">
        <v>1746</v>
      </c>
      <c r="C30" t="s">
        <v>75</v>
      </c>
      <c r="D30" t="s">
        <v>1610</v>
      </c>
      <c r="E30" s="7">
        <v>44794</v>
      </c>
      <c r="F30" t="s">
        <v>1747</v>
      </c>
      <c r="G30" t="s">
        <v>1748</v>
      </c>
      <c r="H30" t="s">
        <v>1749</v>
      </c>
      <c r="I30" t="s">
        <v>1654</v>
      </c>
      <c r="J30" t="s">
        <v>1640</v>
      </c>
      <c r="K30" s="7">
        <v>25614</v>
      </c>
    </row>
    <row r="31" spans="1:11" x14ac:dyDescent="0.25">
      <c r="A31">
        <v>30</v>
      </c>
      <c r="B31" t="s">
        <v>1750</v>
      </c>
      <c r="C31" t="s">
        <v>83</v>
      </c>
      <c r="D31" t="s">
        <v>1606</v>
      </c>
      <c r="E31" s="7">
        <v>41504</v>
      </c>
      <c r="F31" t="s">
        <v>1751</v>
      </c>
      <c r="G31" t="s">
        <v>1752</v>
      </c>
      <c r="H31" t="s">
        <v>1753</v>
      </c>
      <c r="I31" t="s">
        <v>1654</v>
      </c>
      <c r="J31" t="s">
        <v>1640</v>
      </c>
      <c r="K31" s="7">
        <v>36817</v>
      </c>
    </row>
    <row r="32" spans="1:11" x14ac:dyDescent="0.25">
      <c r="A32">
        <v>31</v>
      </c>
      <c r="B32" t="s">
        <v>1754</v>
      </c>
      <c r="C32" t="s">
        <v>83</v>
      </c>
      <c r="D32" t="s">
        <v>1596</v>
      </c>
      <c r="E32" s="7">
        <v>43351</v>
      </c>
      <c r="F32" t="s">
        <v>1755</v>
      </c>
      <c r="G32" t="s">
        <v>1756</v>
      </c>
      <c r="H32" t="s">
        <v>1757</v>
      </c>
      <c r="I32" t="s">
        <v>1654</v>
      </c>
      <c r="J32" t="s">
        <v>397</v>
      </c>
      <c r="K32" s="7">
        <v>29955</v>
      </c>
    </row>
    <row r="33" spans="1:11" x14ac:dyDescent="0.25">
      <c r="A33">
        <v>32</v>
      </c>
      <c r="B33" t="s">
        <v>1758</v>
      </c>
      <c r="C33" t="s">
        <v>75</v>
      </c>
      <c r="D33" t="s">
        <v>1598</v>
      </c>
      <c r="E33" s="7">
        <v>38792</v>
      </c>
      <c r="F33" t="s">
        <v>1759</v>
      </c>
      <c r="G33" t="s">
        <v>1760</v>
      </c>
      <c r="H33" t="s">
        <v>1761</v>
      </c>
      <c r="I33" t="s">
        <v>1738</v>
      </c>
      <c r="J33" t="s">
        <v>467</v>
      </c>
      <c r="K33" s="7">
        <v>25603</v>
      </c>
    </row>
    <row r="34" spans="1:11" x14ac:dyDescent="0.25">
      <c r="A34">
        <v>33</v>
      </c>
      <c r="B34" t="s">
        <v>1762</v>
      </c>
      <c r="C34" t="s">
        <v>83</v>
      </c>
      <c r="D34" t="s">
        <v>1600</v>
      </c>
      <c r="E34" s="7">
        <v>43776</v>
      </c>
      <c r="F34" t="s">
        <v>1763</v>
      </c>
      <c r="G34" t="s">
        <v>1764</v>
      </c>
      <c r="H34" t="s">
        <v>1765</v>
      </c>
      <c r="I34" t="s">
        <v>1738</v>
      </c>
      <c r="J34" t="s">
        <v>1640</v>
      </c>
      <c r="K34" s="7">
        <v>37684</v>
      </c>
    </row>
    <row r="35" spans="1:11" x14ac:dyDescent="0.25">
      <c r="A35">
        <v>34</v>
      </c>
      <c r="B35" t="s">
        <v>1766</v>
      </c>
      <c r="C35" t="s">
        <v>83</v>
      </c>
      <c r="D35" t="s">
        <v>1610</v>
      </c>
      <c r="E35" s="7">
        <v>40034</v>
      </c>
      <c r="F35" t="s">
        <v>1767</v>
      </c>
      <c r="G35" t="s">
        <v>1768</v>
      </c>
      <c r="H35" t="s">
        <v>1769</v>
      </c>
      <c r="I35" t="s">
        <v>1738</v>
      </c>
      <c r="J35" t="s">
        <v>1649</v>
      </c>
      <c r="K35" s="7">
        <v>32459</v>
      </c>
    </row>
    <row r="36" spans="1:11" x14ac:dyDescent="0.25">
      <c r="A36">
        <v>35</v>
      </c>
      <c r="B36" t="s">
        <v>1770</v>
      </c>
      <c r="C36" t="s">
        <v>75</v>
      </c>
      <c r="D36" t="s">
        <v>1612</v>
      </c>
      <c r="E36" s="7">
        <v>40487</v>
      </c>
      <c r="F36" t="s">
        <v>1771</v>
      </c>
      <c r="G36" t="s">
        <v>1772</v>
      </c>
      <c r="H36" t="s">
        <v>1773</v>
      </c>
      <c r="I36" t="s">
        <v>1645</v>
      </c>
      <c r="J36" t="s">
        <v>1663</v>
      </c>
      <c r="K36" s="7">
        <v>30753</v>
      </c>
    </row>
    <row r="37" spans="1:11" x14ac:dyDescent="0.25">
      <c r="A37">
        <v>36</v>
      </c>
      <c r="B37" t="s">
        <v>1774</v>
      </c>
      <c r="C37" t="s">
        <v>83</v>
      </c>
      <c r="D37" t="s">
        <v>1614</v>
      </c>
      <c r="E37" s="7">
        <v>44926</v>
      </c>
      <c r="F37" t="s">
        <v>1775</v>
      </c>
      <c r="G37" t="s">
        <v>1776</v>
      </c>
      <c r="H37" t="s">
        <v>1777</v>
      </c>
      <c r="I37" t="s">
        <v>1645</v>
      </c>
      <c r="J37" t="s">
        <v>467</v>
      </c>
      <c r="K37" s="7">
        <v>23994</v>
      </c>
    </row>
    <row r="38" spans="1:11" x14ac:dyDescent="0.25">
      <c r="A38">
        <v>37</v>
      </c>
      <c r="B38" t="s">
        <v>1778</v>
      </c>
      <c r="C38" t="s">
        <v>75</v>
      </c>
      <c r="D38" t="s">
        <v>1608</v>
      </c>
      <c r="E38" s="7">
        <v>40009</v>
      </c>
      <c r="F38" t="s">
        <v>1779</v>
      </c>
      <c r="G38" t="s">
        <v>1780</v>
      </c>
      <c r="H38" t="s">
        <v>1781</v>
      </c>
      <c r="I38" t="s">
        <v>1639</v>
      </c>
      <c r="J38" t="s">
        <v>1663</v>
      </c>
      <c r="K38" s="7">
        <v>30523</v>
      </c>
    </row>
    <row r="39" spans="1:11" x14ac:dyDescent="0.25">
      <c r="A39">
        <v>38</v>
      </c>
      <c r="B39" t="s">
        <v>1782</v>
      </c>
      <c r="C39" t="s">
        <v>75</v>
      </c>
      <c r="D39" t="s">
        <v>1602</v>
      </c>
      <c r="E39" s="7">
        <v>43776</v>
      </c>
      <c r="F39" t="s">
        <v>1783</v>
      </c>
      <c r="G39" t="s">
        <v>1784</v>
      </c>
      <c r="H39" t="s">
        <v>1785</v>
      </c>
      <c r="I39" t="s">
        <v>1738</v>
      </c>
      <c r="J39" t="s">
        <v>1640</v>
      </c>
      <c r="K39" s="7">
        <v>30206</v>
      </c>
    </row>
    <row r="40" spans="1:11" x14ac:dyDescent="0.25">
      <c r="A40">
        <v>39</v>
      </c>
      <c r="B40" t="s">
        <v>1786</v>
      </c>
      <c r="C40" t="s">
        <v>75</v>
      </c>
      <c r="D40" t="s">
        <v>1614</v>
      </c>
      <c r="E40" s="7">
        <v>43321</v>
      </c>
      <c r="F40" t="s">
        <v>1787</v>
      </c>
      <c r="G40" t="s">
        <v>1788</v>
      </c>
      <c r="H40" t="s">
        <v>1789</v>
      </c>
      <c r="I40" t="s">
        <v>1634</v>
      </c>
      <c r="J40" t="s">
        <v>1640</v>
      </c>
      <c r="K40" s="7">
        <v>26109</v>
      </c>
    </row>
    <row r="41" spans="1:11" x14ac:dyDescent="0.25">
      <c r="A41">
        <v>40</v>
      </c>
      <c r="B41" t="s">
        <v>1790</v>
      </c>
      <c r="C41" t="s">
        <v>83</v>
      </c>
      <c r="D41" t="s">
        <v>1600</v>
      </c>
      <c r="E41" s="7">
        <v>45631</v>
      </c>
      <c r="F41" t="s">
        <v>1791</v>
      </c>
      <c r="G41" t="s">
        <v>1792</v>
      </c>
      <c r="H41" t="s">
        <v>1793</v>
      </c>
      <c r="I41" t="s">
        <v>1738</v>
      </c>
      <c r="J41" t="s">
        <v>1663</v>
      </c>
      <c r="K41" s="7">
        <v>29030</v>
      </c>
    </row>
    <row r="42" spans="1:11" x14ac:dyDescent="0.25">
      <c r="A42">
        <v>41</v>
      </c>
      <c r="B42" t="s">
        <v>1794</v>
      </c>
      <c r="C42" t="s">
        <v>75</v>
      </c>
      <c r="D42" t="s">
        <v>1598</v>
      </c>
      <c r="E42" s="7">
        <v>40596</v>
      </c>
      <c r="F42" t="s">
        <v>1795</v>
      </c>
      <c r="G42" t="s">
        <v>1796</v>
      </c>
      <c r="H42" t="s">
        <v>1797</v>
      </c>
      <c r="I42" t="s">
        <v>1639</v>
      </c>
      <c r="J42" t="s">
        <v>467</v>
      </c>
      <c r="K42" s="7">
        <v>31450</v>
      </c>
    </row>
    <row r="43" spans="1:11" x14ac:dyDescent="0.25">
      <c r="A43">
        <v>42</v>
      </c>
      <c r="B43" t="s">
        <v>1798</v>
      </c>
      <c r="C43" t="s">
        <v>75</v>
      </c>
      <c r="D43" t="s">
        <v>1614</v>
      </c>
      <c r="E43" s="7">
        <v>41400</v>
      </c>
      <c r="F43" t="s">
        <v>1799</v>
      </c>
      <c r="G43" t="s">
        <v>1800</v>
      </c>
      <c r="H43" t="s">
        <v>1801</v>
      </c>
      <c r="I43" t="s">
        <v>1639</v>
      </c>
      <c r="J43" t="s">
        <v>1640</v>
      </c>
      <c r="K43" s="7">
        <v>31724</v>
      </c>
    </row>
    <row r="44" spans="1:11" x14ac:dyDescent="0.25">
      <c r="A44">
        <v>43</v>
      </c>
      <c r="B44" t="s">
        <v>1802</v>
      </c>
      <c r="C44" t="s">
        <v>75</v>
      </c>
      <c r="D44" t="s">
        <v>1604</v>
      </c>
      <c r="E44" s="7">
        <v>43906</v>
      </c>
      <c r="F44" t="s">
        <v>1803</v>
      </c>
      <c r="G44" t="s">
        <v>1804</v>
      </c>
      <c r="H44" t="s">
        <v>1805</v>
      </c>
      <c r="I44" t="s">
        <v>1639</v>
      </c>
      <c r="J44" t="s">
        <v>1663</v>
      </c>
      <c r="K44" s="7">
        <v>26117</v>
      </c>
    </row>
    <row r="45" spans="1:11" x14ac:dyDescent="0.25">
      <c r="A45">
        <v>44</v>
      </c>
      <c r="B45" t="s">
        <v>1806</v>
      </c>
      <c r="C45" t="s">
        <v>75</v>
      </c>
      <c r="D45" t="s">
        <v>1612</v>
      </c>
      <c r="E45" s="7">
        <v>42447</v>
      </c>
      <c r="F45" t="s">
        <v>1807</v>
      </c>
      <c r="G45" t="s">
        <v>1808</v>
      </c>
      <c r="H45" t="s">
        <v>1809</v>
      </c>
      <c r="I45" t="s">
        <v>1654</v>
      </c>
      <c r="J45" t="s">
        <v>1663</v>
      </c>
      <c r="K45" s="7">
        <v>26966</v>
      </c>
    </row>
    <row r="46" spans="1:11" x14ac:dyDescent="0.25">
      <c r="A46">
        <v>45</v>
      </c>
      <c r="B46" t="s">
        <v>1810</v>
      </c>
      <c r="C46" t="s">
        <v>75</v>
      </c>
      <c r="D46" t="s">
        <v>1612</v>
      </c>
      <c r="E46" s="7">
        <v>44141</v>
      </c>
      <c r="F46" t="s">
        <v>1811</v>
      </c>
      <c r="G46" t="s">
        <v>1812</v>
      </c>
      <c r="H46" t="s">
        <v>1813</v>
      </c>
      <c r="I46" t="s">
        <v>1654</v>
      </c>
      <c r="J46" t="s">
        <v>467</v>
      </c>
      <c r="K46" s="7">
        <v>28996</v>
      </c>
    </row>
    <row r="47" spans="1:11" x14ac:dyDescent="0.25">
      <c r="A47">
        <v>46</v>
      </c>
      <c r="B47" t="s">
        <v>1814</v>
      </c>
      <c r="C47" t="s">
        <v>75</v>
      </c>
      <c r="D47" t="s">
        <v>1602</v>
      </c>
      <c r="E47" s="7">
        <v>45361</v>
      </c>
      <c r="F47" t="s">
        <v>1815</v>
      </c>
      <c r="G47" t="s">
        <v>1816</v>
      </c>
      <c r="H47" t="s">
        <v>1817</v>
      </c>
      <c r="I47" t="s">
        <v>1654</v>
      </c>
      <c r="J47" t="s">
        <v>1649</v>
      </c>
      <c r="K47" s="7">
        <v>28996</v>
      </c>
    </row>
    <row r="48" spans="1:11" x14ac:dyDescent="0.25">
      <c r="A48">
        <v>47</v>
      </c>
      <c r="B48" t="s">
        <v>1818</v>
      </c>
      <c r="C48" t="s">
        <v>75</v>
      </c>
      <c r="D48" t="s">
        <v>1596</v>
      </c>
      <c r="E48" s="7">
        <v>44406</v>
      </c>
      <c r="F48" t="s">
        <v>1819</v>
      </c>
      <c r="G48" t="s">
        <v>1820</v>
      </c>
      <c r="H48" t="s">
        <v>1821</v>
      </c>
      <c r="I48" t="s">
        <v>1639</v>
      </c>
      <c r="J48" t="s">
        <v>1640</v>
      </c>
      <c r="K48" s="7">
        <v>33720</v>
      </c>
    </row>
    <row r="49" spans="1:11" x14ac:dyDescent="0.25">
      <c r="A49">
        <v>48</v>
      </c>
      <c r="B49" t="s">
        <v>1822</v>
      </c>
      <c r="C49" t="s">
        <v>75</v>
      </c>
      <c r="D49" t="s">
        <v>1600</v>
      </c>
      <c r="E49" s="7">
        <v>43635</v>
      </c>
      <c r="F49" t="s">
        <v>1823</v>
      </c>
      <c r="G49" t="s">
        <v>1824</v>
      </c>
      <c r="H49" t="s">
        <v>1825</v>
      </c>
      <c r="I49" t="s">
        <v>1639</v>
      </c>
      <c r="J49" t="s">
        <v>467</v>
      </c>
      <c r="K49" s="7">
        <v>33060</v>
      </c>
    </row>
    <row r="50" spans="1:11" x14ac:dyDescent="0.25">
      <c r="A50">
        <v>49</v>
      </c>
      <c r="B50" t="s">
        <v>1826</v>
      </c>
      <c r="C50" t="s">
        <v>83</v>
      </c>
      <c r="D50" t="s">
        <v>1596</v>
      </c>
      <c r="E50" s="7">
        <v>42566</v>
      </c>
      <c r="F50" t="s">
        <v>1827</v>
      </c>
      <c r="G50" t="s">
        <v>1828</v>
      </c>
      <c r="H50" t="s">
        <v>1829</v>
      </c>
      <c r="I50" t="s">
        <v>1645</v>
      </c>
      <c r="J50" t="s">
        <v>1649</v>
      </c>
      <c r="K50" s="7">
        <v>35625</v>
      </c>
    </row>
    <row r="51" spans="1:11" x14ac:dyDescent="0.25">
      <c r="A51">
        <v>50</v>
      </c>
      <c r="B51" t="s">
        <v>1830</v>
      </c>
      <c r="C51" t="s">
        <v>75</v>
      </c>
      <c r="D51" t="s">
        <v>1600</v>
      </c>
      <c r="E51" s="7">
        <v>38913</v>
      </c>
      <c r="F51" t="s">
        <v>1831</v>
      </c>
      <c r="G51" t="s">
        <v>1832</v>
      </c>
      <c r="H51" t="s">
        <v>1833</v>
      </c>
      <c r="I51" t="s">
        <v>1738</v>
      </c>
      <c r="J51" t="s">
        <v>397</v>
      </c>
      <c r="K51" s="7">
        <v>32849</v>
      </c>
    </row>
    <row r="52" spans="1:11" x14ac:dyDescent="0.25">
      <c r="A52">
        <v>51</v>
      </c>
      <c r="B52" t="s">
        <v>1834</v>
      </c>
      <c r="C52" t="s">
        <v>83</v>
      </c>
      <c r="D52" t="s">
        <v>1598</v>
      </c>
      <c r="E52" s="7">
        <v>38976</v>
      </c>
      <c r="F52" t="s">
        <v>1835</v>
      </c>
      <c r="G52" t="s">
        <v>1836</v>
      </c>
      <c r="H52" t="s">
        <v>1837</v>
      </c>
      <c r="I52" t="s">
        <v>1634</v>
      </c>
      <c r="J52" t="s">
        <v>467</v>
      </c>
      <c r="K52" s="7">
        <v>25940</v>
      </c>
    </row>
    <row r="53" spans="1:11" x14ac:dyDescent="0.25">
      <c r="A53">
        <v>52</v>
      </c>
      <c r="B53" t="s">
        <v>1838</v>
      </c>
      <c r="C53" t="s">
        <v>83</v>
      </c>
      <c r="D53" t="s">
        <v>1606</v>
      </c>
      <c r="E53" s="7">
        <v>39387</v>
      </c>
      <c r="F53" t="s">
        <v>1839</v>
      </c>
      <c r="G53">
        <v>57319016</v>
      </c>
      <c r="H53" t="s">
        <v>1840</v>
      </c>
      <c r="I53" t="s">
        <v>1738</v>
      </c>
      <c r="J53" t="s">
        <v>467</v>
      </c>
      <c r="K53" s="7">
        <v>24055</v>
      </c>
    </row>
    <row r="54" spans="1:11" x14ac:dyDescent="0.25">
      <c r="A54">
        <v>53</v>
      </c>
      <c r="B54" t="s">
        <v>1841</v>
      </c>
      <c r="C54" t="s">
        <v>75</v>
      </c>
      <c r="D54" t="s">
        <v>1606</v>
      </c>
      <c r="E54" s="7">
        <v>40664</v>
      </c>
      <c r="F54" t="s">
        <v>1842</v>
      </c>
      <c r="G54" t="s">
        <v>1843</v>
      </c>
      <c r="H54" t="s">
        <v>1844</v>
      </c>
      <c r="I54" t="s">
        <v>1639</v>
      </c>
      <c r="J54" t="s">
        <v>1663</v>
      </c>
      <c r="K54" s="7">
        <v>29413</v>
      </c>
    </row>
    <row r="55" spans="1:11" x14ac:dyDescent="0.25">
      <c r="A55">
        <v>54</v>
      </c>
      <c r="B55" t="s">
        <v>1845</v>
      </c>
      <c r="C55" t="s">
        <v>75</v>
      </c>
      <c r="D55" t="s">
        <v>1596</v>
      </c>
      <c r="E55" s="7">
        <v>44666</v>
      </c>
      <c r="F55" t="s">
        <v>1846</v>
      </c>
      <c r="G55" t="s">
        <v>1847</v>
      </c>
      <c r="H55" t="s">
        <v>1848</v>
      </c>
      <c r="I55" t="s">
        <v>1738</v>
      </c>
      <c r="J55" t="s">
        <v>467</v>
      </c>
      <c r="K55" s="7">
        <v>30702</v>
      </c>
    </row>
    <row r="56" spans="1:11" x14ac:dyDescent="0.25">
      <c r="A56">
        <v>55</v>
      </c>
      <c r="B56" t="s">
        <v>1849</v>
      </c>
      <c r="C56" t="s">
        <v>75</v>
      </c>
      <c r="D56" t="s">
        <v>1606</v>
      </c>
      <c r="E56" s="7">
        <v>39068</v>
      </c>
      <c r="F56" t="s">
        <v>1850</v>
      </c>
      <c r="G56" t="s">
        <v>1851</v>
      </c>
      <c r="H56" t="s">
        <v>1852</v>
      </c>
      <c r="I56" t="s">
        <v>1645</v>
      </c>
      <c r="J56" t="s">
        <v>1640</v>
      </c>
      <c r="K56" s="7">
        <v>27577</v>
      </c>
    </row>
    <row r="57" spans="1:11" x14ac:dyDescent="0.25">
      <c r="A57">
        <v>56</v>
      </c>
      <c r="B57" t="s">
        <v>1853</v>
      </c>
      <c r="C57" t="s">
        <v>75</v>
      </c>
      <c r="D57" t="s">
        <v>1610</v>
      </c>
      <c r="E57" s="7">
        <v>44674</v>
      </c>
      <c r="F57" t="s">
        <v>1854</v>
      </c>
      <c r="G57" t="s">
        <v>1855</v>
      </c>
      <c r="H57" t="s">
        <v>1856</v>
      </c>
      <c r="I57" t="s">
        <v>1738</v>
      </c>
      <c r="J57" t="s">
        <v>1640</v>
      </c>
      <c r="K57" s="7">
        <v>34733</v>
      </c>
    </row>
    <row r="58" spans="1:11" x14ac:dyDescent="0.25">
      <c r="A58">
        <v>57</v>
      </c>
      <c r="B58" t="s">
        <v>1857</v>
      </c>
      <c r="C58" t="s">
        <v>83</v>
      </c>
      <c r="D58" t="s">
        <v>1596</v>
      </c>
      <c r="E58" s="7">
        <v>39171</v>
      </c>
      <c r="F58" t="s">
        <v>1858</v>
      </c>
      <c r="G58" t="s">
        <v>1859</v>
      </c>
      <c r="H58" t="s">
        <v>1860</v>
      </c>
      <c r="I58" t="s">
        <v>1654</v>
      </c>
      <c r="J58" t="s">
        <v>1640</v>
      </c>
      <c r="K58" s="7">
        <v>26080</v>
      </c>
    </row>
    <row r="59" spans="1:11" x14ac:dyDescent="0.25">
      <c r="A59">
        <v>58</v>
      </c>
      <c r="B59" t="s">
        <v>1861</v>
      </c>
      <c r="C59" t="s">
        <v>75</v>
      </c>
      <c r="D59" t="s">
        <v>1600</v>
      </c>
      <c r="E59" s="7">
        <v>38880</v>
      </c>
      <c r="F59" t="s">
        <v>1862</v>
      </c>
      <c r="G59" t="s">
        <v>1863</v>
      </c>
      <c r="H59" t="s">
        <v>1864</v>
      </c>
      <c r="I59" t="s">
        <v>1639</v>
      </c>
      <c r="J59" t="s">
        <v>1640</v>
      </c>
      <c r="K59" s="7">
        <v>29747</v>
      </c>
    </row>
    <row r="60" spans="1:11" x14ac:dyDescent="0.25">
      <c r="A60">
        <v>59</v>
      </c>
      <c r="B60" t="s">
        <v>1865</v>
      </c>
      <c r="C60" t="s">
        <v>83</v>
      </c>
      <c r="D60" t="s">
        <v>1612</v>
      </c>
      <c r="E60" s="7">
        <v>41363</v>
      </c>
      <c r="F60" t="s">
        <v>1866</v>
      </c>
      <c r="G60" t="s">
        <v>1867</v>
      </c>
      <c r="H60" t="s">
        <v>1868</v>
      </c>
      <c r="I60" t="s">
        <v>1645</v>
      </c>
      <c r="J60" t="s">
        <v>1640</v>
      </c>
      <c r="K60" s="7">
        <v>35153</v>
      </c>
    </row>
    <row r="61" spans="1:11" x14ac:dyDescent="0.25">
      <c r="A61">
        <v>60</v>
      </c>
      <c r="B61" t="s">
        <v>1869</v>
      </c>
      <c r="C61" t="s">
        <v>75</v>
      </c>
      <c r="D61" t="s">
        <v>1606</v>
      </c>
      <c r="E61" s="7">
        <v>39095</v>
      </c>
      <c r="F61" t="s">
        <v>1870</v>
      </c>
      <c r="G61" t="s">
        <v>1871</v>
      </c>
      <c r="H61" t="s">
        <v>1872</v>
      </c>
      <c r="I61" t="s">
        <v>1639</v>
      </c>
      <c r="J61" t="s">
        <v>1640</v>
      </c>
      <c r="K61" s="7">
        <v>27387</v>
      </c>
    </row>
    <row r="62" spans="1:11" x14ac:dyDescent="0.25">
      <c r="A62">
        <v>61</v>
      </c>
      <c r="B62" t="s">
        <v>1873</v>
      </c>
      <c r="C62" t="s">
        <v>75</v>
      </c>
      <c r="D62" t="s">
        <v>1610</v>
      </c>
      <c r="E62" s="7">
        <v>43020</v>
      </c>
      <c r="F62" t="s">
        <v>1874</v>
      </c>
      <c r="G62" t="s">
        <v>1875</v>
      </c>
      <c r="H62" t="s">
        <v>1876</v>
      </c>
      <c r="I62" t="s">
        <v>1645</v>
      </c>
      <c r="J62" t="s">
        <v>1649</v>
      </c>
      <c r="K62" s="7">
        <v>30513</v>
      </c>
    </row>
    <row r="63" spans="1:11" x14ac:dyDescent="0.25">
      <c r="A63">
        <v>62</v>
      </c>
      <c r="B63" t="s">
        <v>1877</v>
      </c>
      <c r="C63" t="s">
        <v>75</v>
      </c>
      <c r="D63" t="s">
        <v>1600</v>
      </c>
      <c r="E63" s="7">
        <v>44475</v>
      </c>
      <c r="F63" t="s">
        <v>1878</v>
      </c>
      <c r="G63" t="s">
        <v>1879</v>
      </c>
      <c r="H63" t="s">
        <v>1880</v>
      </c>
      <c r="I63" t="s">
        <v>1654</v>
      </c>
      <c r="J63" t="s">
        <v>1649</v>
      </c>
      <c r="K63" s="7">
        <v>26249</v>
      </c>
    </row>
    <row r="64" spans="1:11" x14ac:dyDescent="0.25">
      <c r="A64">
        <v>63</v>
      </c>
      <c r="B64" t="s">
        <v>1881</v>
      </c>
      <c r="C64" t="s">
        <v>75</v>
      </c>
      <c r="D64" t="s">
        <v>1598</v>
      </c>
      <c r="E64" s="7">
        <v>42349</v>
      </c>
      <c r="F64" t="s">
        <v>1882</v>
      </c>
      <c r="G64" t="s">
        <v>1883</v>
      </c>
      <c r="H64" t="s">
        <v>1884</v>
      </c>
      <c r="I64" t="s">
        <v>1654</v>
      </c>
      <c r="J64" t="s">
        <v>1640</v>
      </c>
      <c r="K64" s="7">
        <v>37143</v>
      </c>
    </row>
    <row r="65" spans="1:11" x14ac:dyDescent="0.25">
      <c r="A65">
        <v>64</v>
      </c>
      <c r="B65" t="s">
        <v>1885</v>
      </c>
      <c r="C65" t="s">
        <v>83</v>
      </c>
      <c r="D65" t="s">
        <v>1610</v>
      </c>
      <c r="E65" s="7">
        <v>44397</v>
      </c>
      <c r="F65" t="s">
        <v>1886</v>
      </c>
      <c r="G65" t="s">
        <v>1887</v>
      </c>
      <c r="H65" t="s">
        <v>1888</v>
      </c>
      <c r="I65" t="s">
        <v>1738</v>
      </c>
      <c r="J65" t="s">
        <v>397</v>
      </c>
      <c r="K65" s="7">
        <v>23634</v>
      </c>
    </row>
    <row r="66" spans="1:11" x14ac:dyDescent="0.25">
      <c r="A66">
        <v>65</v>
      </c>
      <c r="B66" t="s">
        <v>1889</v>
      </c>
      <c r="C66" t="s">
        <v>75</v>
      </c>
      <c r="D66" t="s">
        <v>1606</v>
      </c>
      <c r="E66" s="7">
        <v>40321</v>
      </c>
      <c r="F66" t="s">
        <v>1890</v>
      </c>
      <c r="G66" t="s">
        <v>1891</v>
      </c>
      <c r="H66" t="s">
        <v>1892</v>
      </c>
      <c r="I66" t="s">
        <v>1738</v>
      </c>
      <c r="J66" t="s">
        <v>397</v>
      </c>
      <c r="K66" s="7">
        <v>30896</v>
      </c>
    </row>
    <row r="67" spans="1:11" x14ac:dyDescent="0.25">
      <c r="A67">
        <v>66</v>
      </c>
      <c r="B67" t="s">
        <v>1893</v>
      </c>
      <c r="C67" t="s">
        <v>75</v>
      </c>
      <c r="D67" t="s">
        <v>1608</v>
      </c>
      <c r="E67" s="7">
        <v>42994</v>
      </c>
      <c r="F67" t="s">
        <v>1894</v>
      </c>
      <c r="G67" t="s">
        <v>1895</v>
      </c>
      <c r="H67" t="s">
        <v>1896</v>
      </c>
      <c r="I67" t="s">
        <v>1639</v>
      </c>
      <c r="J67" t="s">
        <v>467</v>
      </c>
      <c r="K67" s="7">
        <v>23570</v>
      </c>
    </row>
    <row r="68" spans="1:11" x14ac:dyDescent="0.25">
      <c r="A68">
        <v>67</v>
      </c>
      <c r="B68" t="s">
        <v>1897</v>
      </c>
      <c r="C68" t="s">
        <v>75</v>
      </c>
      <c r="D68" t="s">
        <v>1606</v>
      </c>
      <c r="E68" s="7">
        <v>41927</v>
      </c>
      <c r="F68" t="s">
        <v>1898</v>
      </c>
      <c r="G68" t="s">
        <v>1899</v>
      </c>
      <c r="H68" t="s">
        <v>1900</v>
      </c>
      <c r="I68" t="s">
        <v>1634</v>
      </c>
      <c r="J68" t="s">
        <v>467</v>
      </c>
      <c r="K68" s="7">
        <v>28609</v>
      </c>
    </row>
    <row r="69" spans="1:11" x14ac:dyDescent="0.25">
      <c r="A69">
        <v>68</v>
      </c>
      <c r="B69" t="s">
        <v>1901</v>
      </c>
      <c r="C69" t="s">
        <v>75</v>
      </c>
      <c r="D69" t="s">
        <v>1596</v>
      </c>
      <c r="E69" s="7">
        <v>44741</v>
      </c>
      <c r="F69" t="s">
        <v>1902</v>
      </c>
      <c r="G69" t="s">
        <v>1903</v>
      </c>
      <c r="H69" t="s">
        <v>1904</v>
      </c>
      <c r="I69" t="s">
        <v>1645</v>
      </c>
      <c r="J69" t="s">
        <v>1640</v>
      </c>
      <c r="K69" s="7">
        <v>35110</v>
      </c>
    </row>
    <row r="70" spans="1:11" x14ac:dyDescent="0.25">
      <c r="A70">
        <v>69</v>
      </c>
      <c r="B70" t="s">
        <v>1905</v>
      </c>
      <c r="C70" t="s">
        <v>83</v>
      </c>
      <c r="D70" t="s">
        <v>1610</v>
      </c>
      <c r="E70" s="7">
        <v>39636</v>
      </c>
      <c r="F70" t="s">
        <v>1906</v>
      </c>
      <c r="G70" t="s">
        <v>1907</v>
      </c>
      <c r="H70" t="s">
        <v>1908</v>
      </c>
      <c r="I70" t="s">
        <v>1639</v>
      </c>
      <c r="J70" t="s">
        <v>397</v>
      </c>
      <c r="K70" s="7">
        <v>36761</v>
      </c>
    </row>
    <row r="71" spans="1:11" x14ac:dyDescent="0.25">
      <c r="A71">
        <v>70</v>
      </c>
      <c r="B71" t="s">
        <v>1909</v>
      </c>
      <c r="C71" t="s">
        <v>83</v>
      </c>
      <c r="D71" t="s">
        <v>1596</v>
      </c>
      <c r="E71" s="7">
        <v>40623</v>
      </c>
      <c r="F71" t="s">
        <v>1910</v>
      </c>
      <c r="G71" t="s">
        <v>1911</v>
      </c>
      <c r="H71" t="s">
        <v>1912</v>
      </c>
      <c r="I71" t="s">
        <v>1634</v>
      </c>
      <c r="J71" t="s">
        <v>397</v>
      </c>
      <c r="K71" s="7">
        <v>25692</v>
      </c>
    </row>
    <row r="72" spans="1:11" x14ac:dyDescent="0.25">
      <c r="A72">
        <v>71</v>
      </c>
      <c r="B72" t="s">
        <v>1913</v>
      </c>
      <c r="C72" t="s">
        <v>75</v>
      </c>
      <c r="D72" t="s">
        <v>1596</v>
      </c>
      <c r="E72" s="7">
        <v>45089</v>
      </c>
      <c r="F72" t="s">
        <v>1914</v>
      </c>
      <c r="G72" t="s">
        <v>1915</v>
      </c>
      <c r="H72" t="s">
        <v>1916</v>
      </c>
      <c r="I72" t="s">
        <v>1738</v>
      </c>
      <c r="J72" t="s">
        <v>467</v>
      </c>
      <c r="K72" s="7">
        <v>30911</v>
      </c>
    </row>
    <row r="73" spans="1:11" x14ac:dyDescent="0.25">
      <c r="A73">
        <v>72</v>
      </c>
      <c r="B73" t="s">
        <v>1917</v>
      </c>
      <c r="C73" t="s">
        <v>75</v>
      </c>
      <c r="D73" t="s">
        <v>1614</v>
      </c>
      <c r="E73" s="7">
        <v>45162</v>
      </c>
      <c r="F73" t="s">
        <v>1918</v>
      </c>
      <c r="G73" t="s">
        <v>1919</v>
      </c>
      <c r="H73" t="s">
        <v>1920</v>
      </c>
      <c r="I73" t="s">
        <v>1639</v>
      </c>
      <c r="J73" t="s">
        <v>1663</v>
      </c>
      <c r="K73" s="7">
        <v>28369</v>
      </c>
    </row>
    <row r="74" spans="1:11" x14ac:dyDescent="0.25">
      <c r="A74">
        <v>73</v>
      </c>
      <c r="B74" t="s">
        <v>1921</v>
      </c>
      <c r="C74" t="s">
        <v>83</v>
      </c>
      <c r="D74" t="s">
        <v>1600</v>
      </c>
      <c r="E74" s="7">
        <v>38701</v>
      </c>
      <c r="F74" t="s">
        <v>1922</v>
      </c>
      <c r="G74">
        <v>6829736121</v>
      </c>
      <c r="H74" t="s">
        <v>1923</v>
      </c>
      <c r="I74" t="s">
        <v>1654</v>
      </c>
      <c r="J74" t="s">
        <v>1640</v>
      </c>
      <c r="K74" s="7">
        <v>27274</v>
      </c>
    </row>
    <row r="75" spans="1:11" x14ac:dyDescent="0.25">
      <c r="A75">
        <v>74</v>
      </c>
      <c r="B75" t="s">
        <v>1924</v>
      </c>
      <c r="C75" t="s">
        <v>75</v>
      </c>
      <c r="D75" t="s">
        <v>1608</v>
      </c>
      <c r="E75" s="7">
        <v>41712</v>
      </c>
      <c r="F75" t="s">
        <v>1925</v>
      </c>
      <c r="G75" t="s">
        <v>1926</v>
      </c>
      <c r="H75" t="s">
        <v>1927</v>
      </c>
      <c r="I75" t="s">
        <v>1639</v>
      </c>
      <c r="J75" t="s">
        <v>1640</v>
      </c>
      <c r="K75" s="7">
        <v>35969</v>
      </c>
    </row>
    <row r="76" spans="1:11" x14ac:dyDescent="0.25">
      <c r="A76">
        <v>75</v>
      </c>
      <c r="B76" t="s">
        <v>1928</v>
      </c>
      <c r="C76" t="s">
        <v>75</v>
      </c>
      <c r="D76" t="s">
        <v>1614</v>
      </c>
      <c r="E76" s="7">
        <v>45734</v>
      </c>
      <c r="F76" t="s">
        <v>1929</v>
      </c>
      <c r="G76" t="s">
        <v>1930</v>
      </c>
      <c r="H76" t="s">
        <v>1931</v>
      </c>
      <c r="I76" t="s">
        <v>1634</v>
      </c>
      <c r="J76" t="s">
        <v>1663</v>
      </c>
      <c r="K76" s="7">
        <v>28081</v>
      </c>
    </row>
    <row r="77" spans="1:11" x14ac:dyDescent="0.25">
      <c r="A77">
        <v>76</v>
      </c>
      <c r="B77" t="s">
        <v>1932</v>
      </c>
      <c r="C77" t="s">
        <v>75</v>
      </c>
      <c r="D77" t="s">
        <v>1604</v>
      </c>
      <c r="E77" s="7">
        <v>40858</v>
      </c>
      <c r="F77" t="s">
        <v>1933</v>
      </c>
      <c r="G77" t="s">
        <v>1934</v>
      </c>
      <c r="H77" t="s">
        <v>1935</v>
      </c>
      <c r="I77" t="s">
        <v>1654</v>
      </c>
      <c r="J77" t="s">
        <v>467</v>
      </c>
      <c r="K77" s="7">
        <v>36594</v>
      </c>
    </row>
    <row r="78" spans="1:11" x14ac:dyDescent="0.25">
      <c r="A78">
        <v>77</v>
      </c>
      <c r="B78" t="s">
        <v>1936</v>
      </c>
      <c r="C78" t="s">
        <v>83</v>
      </c>
      <c r="D78" t="s">
        <v>1604</v>
      </c>
      <c r="E78" s="7">
        <v>43241</v>
      </c>
      <c r="F78" t="s">
        <v>1937</v>
      </c>
      <c r="G78" t="s">
        <v>1938</v>
      </c>
      <c r="H78" t="s">
        <v>1939</v>
      </c>
      <c r="I78" t="s">
        <v>1634</v>
      </c>
      <c r="J78" t="s">
        <v>1649</v>
      </c>
      <c r="K78" s="7">
        <v>37009</v>
      </c>
    </row>
    <row r="79" spans="1:11" x14ac:dyDescent="0.25">
      <c r="A79">
        <v>78</v>
      </c>
      <c r="B79" t="s">
        <v>1940</v>
      </c>
      <c r="C79" t="s">
        <v>83</v>
      </c>
      <c r="D79" t="s">
        <v>1610</v>
      </c>
      <c r="E79" s="7">
        <v>39482</v>
      </c>
      <c r="F79" t="s">
        <v>1941</v>
      </c>
      <c r="G79" t="s">
        <v>1942</v>
      </c>
      <c r="H79" t="s">
        <v>1943</v>
      </c>
      <c r="I79" t="s">
        <v>1634</v>
      </c>
      <c r="J79" t="s">
        <v>1640</v>
      </c>
      <c r="K79" s="7">
        <v>25036</v>
      </c>
    </row>
    <row r="80" spans="1:11" x14ac:dyDescent="0.25">
      <c r="A80">
        <v>79</v>
      </c>
      <c r="B80" t="s">
        <v>1944</v>
      </c>
      <c r="C80" t="s">
        <v>75</v>
      </c>
      <c r="D80" t="s">
        <v>1606</v>
      </c>
      <c r="E80" s="7">
        <v>39404</v>
      </c>
      <c r="F80" t="s">
        <v>1945</v>
      </c>
      <c r="G80" t="s">
        <v>1946</v>
      </c>
      <c r="H80" t="s">
        <v>1947</v>
      </c>
      <c r="I80" t="s">
        <v>1639</v>
      </c>
      <c r="J80" t="s">
        <v>397</v>
      </c>
      <c r="K80" s="7">
        <v>37539</v>
      </c>
    </row>
    <row r="81" spans="1:11" x14ac:dyDescent="0.25">
      <c r="A81">
        <v>80</v>
      </c>
      <c r="B81" t="s">
        <v>1948</v>
      </c>
      <c r="C81" t="s">
        <v>75</v>
      </c>
      <c r="D81" t="s">
        <v>1604</v>
      </c>
      <c r="E81" s="7">
        <v>42167</v>
      </c>
      <c r="F81" t="s">
        <v>1949</v>
      </c>
      <c r="G81" t="s">
        <v>1950</v>
      </c>
      <c r="H81" t="s">
        <v>1951</v>
      </c>
      <c r="I81" t="s">
        <v>1639</v>
      </c>
      <c r="J81" t="s">
        <v>397</v>
      </c>
      <c r="K81" s="7">
        <v>31501</v>
      </c>
    </row>
    <row r="82" spans="1:11" x14ac:dyDescent="0.25">
      <c r="A82">
        <v>81</v>
      </c>
      <c r="B82" t="s">
        <v>1952</v>
      </c>
      <c r="C82" t="s">
        <v>83</v>
      </c>
      <c r="D82" t="s">
        <v>1598</v>
      </c>
      <c r="E82" s="7">
        <v>45038</v>
      </c>
      <c r="F82" t="s">
        <v>1953</v>
      </c>
      <c r="G82" t="s">
        <v>1954</v>
      </c>
      <c r="H82" t="s">
        <v>1955</v>
      </c>
      <c r="I82" t="s">
        <v>1645</v>
      </c>
      <c r="J82" t="s">
        <v>1663</v>
      </c>
      <c r="K82" s="7">
        <v>23669</v>
      </c>
    </row>
    <row r="83" spans="1:11" x14ac:dyDescent="0.25">
      <c r="A83">
        <v>82</v>
      </c>
      <c r="B83" t="s">
        <v>1956</v>
      </c>
      <c r="C83" t="s">
        <v>75</v>
      </c>
      <c r="D83" t="s">
        <v>1600</v>
      </c>
      <c r="E83" s="7">
        <v>42277</v>
      </c>
      <c r="F83" t="s">
        <v>1957</v>
      </c>
      <c r="G83" t="s">
        <v>1958</v>
      </c>
      <c r="H83" t="s">
        <v>1959</v>
      </c>
      <c r="I83" t="s">
        <v>1639</v>
      </c>
      <c r="J83" t="s">
        <v>467</v>
      </c>
      <c r="K83" s="7">
        <v>34615</v>
      </c>
    </row>
    <row r="84" spans="1:11" x14ac:dyDescent="0.25">
      <c r="A84">
        <v>83</v>
      </c>
      <c r="B84" t="s">
        <v>1960</v>
      </c>
      <c r="C84" t="s">
        <v>83</v>
      </c>
      <c r="D84" t="s">
        <v>1598</v>
      </c>
      <c r="E84" s="7">
        <v>39755</v>
      </c>
      <c r="F84" t="s">
        <v>1961</v>
      </c>
      <c r="G84" t="s">
        <v>1962</v>
      </c>
      <c r="H84" t="s">
        <v>1963</v>
      </c>
      <c r="I84" t="s">
        <v>1634</v>
      </c>
      <c r="J84" t="s">
        <v>467</v>
      </c>
      <c r="K84" s="7">
        <v>34874</v>
      </c>
    </row>
    <row r="85" spans="1:11" x14ac:dyDescent="0.25">
      <c r="A85">
        <v>84</v>
      </c>
      <c r="B85" t="s">
        <v>1964</v>
      </c>
      <c r="C85" t="s">
        <v>75</v>
      </c>
      <c r="D85" t="s">
        <v>1610</v>
      </c>
      <c r="E85" s="7">
        <v>39922</v>
      </c>
      <c r="F85" t="s">
        <v>1965</v>
      </c>
      <c r="G85">
        <v>440909288</v>
      </c>
      <c r="H85" t="s">
        <v>1966</v>
      </c>
      <c r="I85" t="s">
        <v>1634</v>
      </c>
      <c r="J85" t="s">
        <v>1640</v>
      </c>
      <c r="K85" s="7">
        <v>26570</v>
      </c>
    </row>
    <row r="86" spans="1:11" x14ac:dyDescent="0.25">
      <c r="A86">
        <v>85</v>
      </c>
      <c r="B86" t="s">
        <v>1967</v>
      </c>
      <c r="C86" t="s">
        <v>83</v>
      </c>
      <c r="D86" t="s">
        <v>1602</v>
      </c>
      <c r="E86" s="7">
        <v>41925</v>
      </c>
      <c r="F86" t="s">
        <v>1968</v>
      </c>
      <c r="G86" t="s">
        <v>1969</v>
      </c>
      <c r="H86" t="s">
        <v>1970</v>
      </c>
      <c r="I86" t="s">
        <v>1738</v>
      </c>
      <c r="J86" t="s">
        <v>1640</v>
      </c>
      <c r="K86" s="7">
        <v>31323</v>
      </c>
    </row>
    <row r="87" spans="1:11" x14ac:dyDescent="0.25">
      <c r="A87">
        <v>86</v>
      </c>
      <c r="B87" t="s">
        <v>1971</v>
      </c>
      <c r="C87" t="s">
        <v>83</v>
      </c>
      <c r="D87" t="s">
        <v>1602</v>
      </c>
      <c r="E87" s="7">
        <v>39228</v>
      </c>
      <c r="F87" t="s">
        <v>1972</v>
      </c>
      <c r="G87" t="s">
        <v>1973</v>
      </c>
      <c r="H87" t="s">
        <v>1974</v>
      </c>
      <c r="I87" t="s">
        <v>1645</v>
      </c>
      <c r="J87" t="s">
        <v>467</v>
      </c>
      <c r="K87" s="7">
        <v>36231</v>
      </c>
    </row>
    <row r="88" spans="1:11" x14ac:dyDescent="0.25">
      <c r="A88">
        <v>87</v>
      </c>
      <c r="B88" t="s">
        <v>1975</v>
      </c>
      <c r="C88" t="s">
        <v>83</v>
      </c>
      <c r="D88" t="s">
        <v>1610</v>
      </c>
      <c r="E88" s="7">
        <v>41499</v>
      </c>
      <c r="F88" t="s">
        <v>1976</v>
      </c>
      <c r="G88" t="s">
        <v>1977</v>
      </c>
      <c r="H88" t="s">
        <v>1978</v>
      </c>
      <c r="I88" t="s">
        <v>1654</v>
      </c>
      <c r="J88" t="s">
        <v>397</v>
      </c>
      <c r="K88" s="7">
        <v>32640</v>
      </c>
    </row>
    <row r="89" spans="1:11" x14ac:dyDescent="0.25">
      <c r="A89">
        <v>88</v>
      </c>
      <c r="B89" t="s">
        <v>1979</v>
      </c>
      <c r="C89" t="s">
        <v>75</v>
      </c>
      <c r="D89" t="s">
        <v>1598</v>
      </c>
      <c r="E89" s="7">
        <v>42488</v>
      </c>
      <c r="F89" t="s">
        <v>1980</v>
      </c>
      <c r="G89" t="s">
        <v>1981</v>
      </c>
      <c r="H89" t="s">
        <v>1982</v>
      </c>
      <c r="I89" t="s">
        <v>1634</v>
      </c>
      <c r="J89" t="s">
        <v>1649</v>
      </c>
      <c r="K89" s="7">
        <v>35755</v>
      </c>
    </row>
    <row r="90" spans="1:11" x14ac:dyDescent="0.25">
      <c r="A90">
        <v>89</v>
      </c>
      <c r="B90" t="s">
        <v>1983</v>
      </c>
      <c r="C90" t="s">
        <v>75</v>
      </c>
      <c r="D90" t="s">
        <v>1604</v>
      </c>
      <c r="E90" s="7">
        <v>41870</v>
      </c>
      <c r="F90" t="s">
        <v>1984</v>
      </c>
      <c r="G90">
        <f>1-649-410-1864</f>
        <v>-2922</v>
      </c>
      <c r="H90" t="s">
        <v>1985</v>
      </c>
      <c r="I90" t="s">
        <v>1738</v>
      </c>
      <c r="J90" t="s">
        <v>1663</v>
      </c>
      <c r="K90" s="7">
        <v>30591</v>
      </c>
    </row>
    <row r="91" spans="1:11" x14ac:dyDescent="0.25">
      <c r="A91">
        <v>90</v>
      </c>
      <c r="B91" t="s">
        <v>1986</v>
      </c>
      <c r="C91" t="s">
        <v>83</v>
      </c>
      <c r="D91" t="s">
        <v>1610</v>
      </c>
      <c r="E91" s="7">
        <v>43583</v>
      </c>
      <c r="F91" t="s">
        <v>1987</v>
      </c>
      <c r="G91">
        <v>2841377905</v>
      </c>
      <c r="H91" t="s">
        <v>1988</v>
      </c>
      <c r="I91" t="s">
        <v>1654</v>
      </c>
      <c r="J91" t="s">
        <v>397</v>
      </c>
      <c r="K91" s="7">
        <v>26763</v>
      </c>
    </row>
    <row r="92" spans="1:11" x14ac:dyDescent="0.25">
      <c r="A92">
        <v>91</v>
      </c>
      <c r="B92" t="s">
        <v>1989</v>
      </c>
      <c r="C92" t="s">
        <v>83</v>
      </c>
      <c r="D92" t="s">
        <v>1596</v>
      </c>
      <c r="E92" s="7">
        <v>45131</v>
      </c>
      <c r="F92" t="s">
        <v>1990</v>
      </c>
      <c r="G92" t="s">
        <v>1991</v>
      </c>
      <c r="H92" t="s">
        <v>1992</v>
      </c>
      <c r="I92" t="s">
        <v>1738</v>
      </c>
      <c r="J92" t="s">
        <v>1663</v>
      </c>
      <c r="K92" s="7">
        <v>26068</v>
      </c>
    </row>
    <row r="93" spans="1:11" x14ac:dyDescent="0.25">
      <c r="A93">
        <v>92</v>
      </c>
      <c r="B93" t="s">
        <v>1993</v>
      </c>
      <c r="C93" t="s">
        <v>83</v>
      </c>
      <c r="D93" t="s">
        <v>1610</v>
      </c>
      <c r="E93" s="7">
        <v>40772</v>
      </c>
      <c r="F93" t="s">
        <v>1994</v>
      </c>
      <c r="G93" t="s">
        <v>1995</v>
      </c>
      <c r="H93" t="s">
        <v>1996</v>
      </c>
      <c r="I93" t="s">
        <v>1654</v>
      </c>
      <c r="J93" t="s">
        <v>397</v>
      </c>
      <c r="K93" s="7">
        <v>35229</v>
      </c>
    </row>
    <row r="94" spans="1:11" x14ac:dyDescent="0.25">
      <c r="A94">
        <v>93</v>
      </c>
      <c r="B94" t="s">
        <v>1997</v>
      </c>
      <c r="C94" t="s">
        <v>83</v>
      </c>
      <c r="D94" t="s">
        <v>1602</v>
      </c>
      <c r="E94" s="7">
        <v>43295</v>
      </c>
      <c r="F94" t="s">
        <v>1998</v>
      </c>
      <c r="G94" t="s">
        <v>1999</v>
      </c>
      <c r="H94" t="s">
        <v>2000</v>
      </c>
      <c r="I94" t="s">
        <v>1645</v>
      </c>
      <c r="J94" t="s">
        <v>1649</v>
      </c>
      <c r="K94" s="7">
        <v>30389</v>
      </c>
    </row>
    <row r="95" spans="1:11" x14ac:dyDescent="0.25">
      <c r="A95">
        <v>94</v>
      </c>
      <c r="B95" t="s">
        <v>2001</v>
      </c>
      <c r="C95" t="s">
        <v>75</v>
      </c>
      <c r="D95" t="s">
        <v>1596</v>
      </c>
      <c r="E95" s="7">
        <v>41417</v>
      </c>
      <c r="F95" t="s">
        <v>2002</v>
      </c>
      <c r="G95" t="s">
        <v>2003</v>
      </c>
      <c r="H95" t="s">
        <v>2004</v>
      </c>
      <c r="I95" t="s">
        <v>1634</v>
      </c>
      <c r="J95" t="s">
        <v>397</v>
      </c>
      <c r="K95" s="7">
        <v>30231</v>
      </c>
    </row>
    <row r="96" spans="1:11" x14ac:dyDescent="0.25">
      <c r="A96">
        <v>95</v>
      </c>
      <c r="B96" t="s">
        <v>2005</v>
      </c>
      <c r="C96" t="s">
        <v>83</v>
      </c>
      <c r="D96" t="s">
        <v>1598</v>
      </c>
      <c r="E96" s="7">
        <v>39745</v>
      </c>
      <c r="F96" t="s">
        <v>2006</v>
      </c>
      <c r="G96">
        <v>199189771</v>
      </c>
      <c r="H96" t="s">
        <v>2007</v>
      </c>
      <c r="I96" t="s">
        <v>1738</v>
      </c>
      <c r="J96" t="s">
        <v>1663</v>
      </c>
      <c r="K96" s="7">
        <v>30943</v>
      </c>
    </row>
    <row r="97" spans="1:11" x14ac:dyDescent="0.25">
      <c r="A97">
        <v>96</v>
      </c>
      <c r="B97" t="s">
        <v>2008</v>
      </c>
      <c r="C97" t="s">
        <v>83</v>
      </c>
      <c r="D97" t="s">
        <v>1602</v>
      </c>
      <c r="E97" s="7">
        <v>38719</v>
      </c>
      <c r="F97" t="s">
        <v>2009</v>
      </c>
      <c r="G97" t="s">
        <v>2010</v>
      </c>
      <c r="H97" t="s">
        <v>2011</v>
      </c>
      <c r="I97" t="s">
        <v>1738</v>
      </c>
      <c r="J97" t="s">
        <v>467</v>
      </c>
      <c r="K97" s="7">
        <v>36689</v>
      </c>
    </row>
    <row r="98" spans="1:11" x14ac:dyDescent="0.25">
      <c r="A98">
        <v>97</v>
      </c>
      <c r="B98" t="s">
        <v>2012</v>
      </c>
      <c r="C98" t="s">
        <v>75</v>
      </c>
      <c r="D98" t="s">
        <v>1598</v>
      </c>
      <c r="E98" s="7">
        <v>40704</v>
      </c>
      <c r="F98" t="s">
        <v>2013</v>
      </c>
      <c r="G98" t="s">
        <v>2014</v>
      </c>
      <c r="H98" t="s">
        <v>2015</v>
      </c>
      <c r="I98" t="s">
        <v>1738</v>
      </c>
      <c r="J98" t="s">
        <v>467</v>
      </c>
      <c r="K98" s="7">
        <v>36299</v>
      </c>
    </row>
    <row r="99" spans="1:11" x14ac:dyDescent="0.25">
      <c r="A99">
        <v>98</v>
      </c>
      <c r="B99" t="s">
        <v>2016</v>
      </c>
      <c r="C99" t="s">
        <v>75</v>
      </c>
      <c r="D99" t="s">
        <v>1600</v>
      </c>
      <c r="E99" s="7">
        <v>39599</v>
      </c>
      <c r="F99" t="s">
        <v>2017</v>
      </c>
      <c r="G99">
        <v>5725759347</v>
      </c>
      <c r="H99" t="s">
        <v>2018</v>
      </c>
      <c r="I99" t="s">
        <v>1645</v>
      </c>
      <c r="J99" t="s">
        <v>1649</v>
      </c>
      <c r="K99" s="7">
        <v>32759</v>
      </c>
    </row>
    <row r="100" spans="1:11" x14ac:dyDescent="0.25">
      <c r="A100">
        <v>99</v>
      </c>
      <c r="B100" t="s">
        <v>2019</v>
      </c>
      <c r="C100" t="s">
        <v>83</v>
      </c>
      <c r="D100" t="s">
        <v>1606</v>
      </c>
      <c r="E100" s="7">
        <v>39835</v>
      </c>
      <c r="F100" t="s">
        <v>2020</v>
      </c>
      <c r="G100" t="s">
        <v>2021</v>
      </c>
      <c r="H100" t="s">
        <v>2022</v>
      </c>
      <c r="I100" t="s">
        <v>1634</v>
      </c>
      <c r="J100" t="s">
        <v>1649</v>
      </c>
      <c r="K100" s="7">
        <v>25671</v>
      </c>
    </row>
    <row r="101" spans="1:11" x14ac:dyDescent="0.25">
      <c r="A101">
        <v>100</v>
      </c>
      <c r="B101" t="s">
        <v>2023</v>
      </c>
      <c r="C101" t="s">
        <v>83</v>
      </c>
      <c r="D101" t="s">
        <v>1610</v>
      </c>
      <c r="E101" s="7">
        <v>43967</v>
      </c>
      <c r="F101" t="s">
        <v>2024</v>
      </c>
      <c r="G101" t="s">
        <v>2025</v>
      </c>
      <c r="H101" t="s">
        <v>2026</v>
      </c>
      <c r="I101" t="s">
        <v>1654</v>
      </c>
      <c r="J101" t="s">
        <v>1640</v>
      </c>
      <c r="K101" s="7">
        <v>26183</v>
      </c>
    </row>
    <row r="102" spans="1:11" x14ac:dyDescent="0.25">
      <c r="A102">
        <v>101</v>
      </c>
      <c r="B102" t="s">
        <v>2027</v>
      </c>
      <c r="C102" t="s">
        <v>75</v>
      </c>
      <c r="D102" t="s">
        <v>1600</v>
      </c>
      <c r="E102" s="7">
        <v>41444</v>
      </c>
      <c r="F102" t="s">
        <v>2028</v>
      </c>
      <c r="G102" t="s">
        <v>2029</v>
      </c>
      <c r="H102" t="s">
        <v>2030</v>
      </c>
      <c r="I102" t="s">
        <v>1639</v>
      </c>
      <c r="J102" t="s">
        <v>1649</v>
      </c>
      <c r="K102" s="7">
        <v>29198</v>
      </c>
    </row>
    <row r="103" spans="1:11" x14ac:dyDescent="0.25">
      <c r="A103">
        <v>102</v>
      </c>
      <c r="B103" t="s">
        <v>2031</v>
      </c>
      <c r="C103" t="s">
        <v>75</v>
      </c>
      <c r="D103" t="s">
        <v>1614</v>
      </c>
      <c r="E103" s="7">
        <v>39448</v>
      </c>
      <c r="F103" t="s">
        <v>2032</v>
      </c>
      <c r="G103" t="s">
        <v>2033</v>
      </c>
      <c r="H103" t="s">
        <v>2034</v>
      </c>
      <c r="I103" t="s">
        <v>1639</v>
      </c>
      <c r="J103" t="s">
        <v>397</v>
      </c>
      <c r="K103" s="7">
        <v>34299</v>
      </c>
    </row>
    <row r="104" spans="1:11" x14ac:dyDescent="0.25">
      <c r="A104">
        <v>103</v>
      </c>
      <c r="B104" t="s">
        <v>2035</v>
      </c>
      <c r="C104" t="s">
        <v>83</v>
      </c>
      <c r="D104" t="s">
        <v>1608</v>
      </c>
      <c r="E104" s="7">
        <v>39637</v>
      </c>
      <c r="F104" t="s">
        <v>2036</v>
      </c>
      <c r="G104" t="s">
        <v>2037</v>
      </c>
      <c r="H104" t="s">
        <v>2038</v>
      </c>
      <c r="I104" t="s">
        <v>1645</v>
      </c>
      <c r="J104" t="s">
        <v>467</v>
      </c>
      <c r="K104" s="7">
        <v>36790</v>
      </c>
    </row>
    <row r="105" spans="1:11" x14ac:dyDescent="0.25">
      <c r="A105">
        <v>104</v>
      </c>
      <c r="B105" t="s">
        <v>2039</v>
      </c>
      <c r="C105" t="s">
        <v>75</v>
      </c>
      <c r="D105" t="s">
        <v>1602</v>
      </c>
      <c r="E105" s="7">
        <v>41073</v>
      </c>
      <c r="F105" t="s">
        <v>2040</v>
      </c>
      <c r="G105" t="s">
        <v>2041</v>
      </c>
      <c r="H105" t="s">
        <v>2042</v>
      </c>
      <c r="I105" t="s">
        <v>1645</v>
      </c>
      <c r="J105" t="s">
        <v>467</v>
      </c>
      <c r="K105" s="7">
        <v>35188</v>
      </c>
    </row>
    <row r="106" spans="1:11" x14ac:dyDescent="0.25">
      <c r="A106">
        <v>105</v>
      </c>
      <c r="B106" t="s">
        <v>2043</v>
      </c>
      <c r="C106" t="s">
        <v>83</v>
      </c>
      <c r="D106" t="s">
        <v>1608</v>
      </c>
      <c r="E106" s="7">
        <v>41068</v>
      </c>
      <c r="F106" t="s">
        <v>2044</v>
      </c>
      <c r="G106">
        <v>8557870044</v>
      </c>
      <c r="H106" t="s">
        <v>2045</v>
      </c>
      <c r="I106" t="s">
        <v>1654</v>
      </c>
      <c r="J106" t="s">
        <v>397</v>
      </c>
      <c r="K106" s="7">
        <v>35437</v>
      </c>
    </row>
    <row r="107" spans="1:11" x14ac:dyDescent="0.25">
      <c r="A107">
        <v>106</v>
      </c>
      <c r="B107" t="s">
        <v>2046</v>
      </c>
      <c r="C107" t="s">
        <v>75</v>
      </c>
      <c r="D107" t="s">
        <v>1608</v>
      </c>
      <c r="E107" s="7">
        <v>43582</v>
      </c>
      <c r="F107" t="s">
        <v>2047</v>
      </c>
      <c r="G107" t="s">
        <v>2048</v>
      </c>
      <c r="H107" t="s">
        <v>2049</v>
      </c>
      <c r="I107" t="s">
        <v>1634</v>
      </c>
      <c r="J107" t="s">
        <v>1640</v>
      </c>
      <c r="K107" s="7">
        <v>30257</v>
      </c>
    </row>
    <row r="108" spans="1:11" x14ac:dyDescent="0.25">
      <c r="A108">
        <v>107</v>
      </c>
      <c r="B108" t="s">
        <v>2050</v>
      </c>
      <c r="C108" t="s">
        <v>75</v>
      </c>
      <c r="D108" t="s">
        <v>1596</v>
      </c>
      <c r="E108" s="7">
        <v>42909</v>
      </c>
      <c r="F108" t="s">
        <v>2051</v>
      </c>
      <c r="G108" t="s">
        <v>2052</v>
      </c>
      <c r="H108" t="s">
        <v>2053</v>
      </c>
      <c r="I108" t="s">
        <v>1738</v>
      </c>
      <c r="J108" t="s">
        <v>397</v>
      </c>
      <c r="K108" s="7">
        <v>36390</v>
      </c>
    </row>
    <row r="109" spans="1:11" x14ac:dyDescent="0.25">
      <c r="A109">
        <v>108</v>
      </c>
      <c r="B109" t="s">
        <v>2054</v>
      </c>
      <c r="C109" t="s">
        <v>83</v>
      </c>
      <c r="D109" t="s">
        <v>1604</v>
      </c>
      <c r="E109" s="7">
        <v>42632</v>
      </c>
      <c r="F109" t="s">
        <v>2055</v>
      </c>
      <c r="G109" t="s">
        <v>2056</v>
      </c>
      <c r="H109" t="s">
        <v>2057</v>
      </c>
      <c r="I109" t="s">
        <v>1645</v>
      </c>
      <c r="J109" t="s">
        <v>397</v>
      </c>
      <c r="K109" s="7">
        <v>28357</v>
      </c>
    </row>
    <row r="110" spans="1:11" x14ac:dyDescent="0.25">
      <c r="A110">
        <v>109</v>
      </c>
      <c r="B110" t="s">
        <v>2058</v>
      </c>
      <c r="C110" t="s">
        <v>75</v>
      </c>
      <c r="D110" t="s">
        <v>1608</v>
      </c>
      <c r="E110" s="7">
        <v>45359</v>
      </c>
      <c r="F110" t="s">
        <v>2059</v>
      </c>
      <c r="G110" t="s">
        <v>2060</v>
      </c>
      <c r="H110" t="s">
        <v>2061</v>
      </c>
      <c r="I110" t="s">
        <v>1645</v>
      </c>
      <c r="J110" t="s">
        <v>1640</v>
      </c>
      <c r="K110" s="7">
        <v>26340</v>
      </c>
    </row>
    <row r="111" spans="1:11" x14ac:dyDescent="0.25">
      <c r="A111">
        <v>110</v>
      </c>
      <c r="B111" t="s">
        <v>2062</v>
      </c>
      <c r="C111" t="s">
        <v>75</v>
      </c>
      <c r="D111" t="s">
        <v>1612</v>
      </c>
      <c r="E111" s="7">
        <v>39631</v>
      </c>
      <c r="F111" t="s">
        <v>2063</v>
      </c>
      <c r="G111" t="s">
        <v>2064</v>
      </c>
      <c r="H111" t="s">
        <v>2065</v>
      </c>
      <c r="I111" t="s">
        <v>1738</v>
      </c>
      <c r="J111" t="s">
        <v>1640</v>
      </c>
      <c r="K111" s="7">
        <v>31153</v>
      </c>
    </row>
    <row r="112" spans="1:11" x14ac:dyDescent="0.25">
      <c r="A112">
        <v>111</v>
      </c>
      <c r="B112" t="s">
        <v>2066</v>
      </c>
      <c r="C112" t="s">
        <v>83</v>
      </c>
      <c r="D112" t="s">
        <v>1602</v>
      </c>
      <c r="E112" s="7">
        <v>40796</v>
      </c>
      <c r="F112" t="s">
        <v>2067</v>
      </c>
      <c r="G112" t="s">
        <v>2068</v>
      </c>
      <c r="H112" t="s">
        <v>2069</v>
      </c>
      <c r="I112" t="s">
        <v>1645</v>
      </c>
      <c r="J112" t="s">
        <v>1640</v>
      </c>
      <c r="K112" s="7">
        <v>25298</v>
      </c>
    </row>
    <row r="113" spans="1:11" x14ac:dyDescent="0.25">
      <c r="A113">
        <v>112</v>
      </c>
      <c r="B113" t="s">
        <v>2070</v>
      </c>
      <c r="C113" t="s">
        <v>83</v>
      </c>
      <c r="D113" t="s">
        <v>1600</v>
      </c>
      <c r="E113" s="7">
        <v>43062</v>
      </c>
      <c r="F113" t="s">
        <v>2071</v>
      </c>
      <c r="G113">
        <v>77665433</v>
      </c>
      <c r="H113" t="s">
        <v>2072</v>
      </c>
      <c r="I113" t="s">
        <v>1645</v>
      </c>
      <c r="J113" t="s">
        <v>1649</v>
      </c>
      <c r="K113" s="7">
        <v>37421</v>
      </c>
    </row>
    <row r="114" spans="1:11" x14ac:dyDescent="0.25">
      <c r="A114">
        <v>113</v>
      </c>
      <c r="B114" t="s">
        <v>2073</v>
      </c>
      <c r="C114" t="s">
        <v>75</v>
      </c>
      <c r="D114" t="s">
        <v>1602</v>
      </c>
      <c r="E114" s="7">
        <v>45495</v>
      </c>
      <c r="F114" t="s">
        <v>2074</v>
      </c>
      <c r="G114" t="s">
        <v>2075</v>
      </c>
      <c r="H114" t="s">
        <v>2076</v>
      </c>
      <c r="I114" t="s">
        <v>1738</v>
      </c>
      <c r="J114" t="s">
        <v>1649</v>
      </c>
      <c r="K114" s="7">
        <v>32666</v>
      </c>
    </row>
    <row r="115" spans="1:11" x14ac:dyDescent="0.25">
      <c r="A115">
        <v>114</v>
      </c>
      <c r="B115" t="s">
        <v>2077</v>
      </c>
      <c r="C115" t="s">
        <v>83</v>
      </c>
      <c r="D115" t="s">
        <v>1602</v>
      </c>
      <c r="E115" s="7">
        <v>42848</v>
      </c>
      <c r="F115" t="s">
        <v>2078</v>
      </c>
      <c r="G115" t="s">
        <v>2079</v>
      </c>
      <c r="H115" t="s">
        <v>2080</v>
      </c>
      <c r="I115" t="s">
        <v>1738</v>
      </c>
      <c r="J115" t="s">
        <v>1649</v>
      </c>
      <c r="K115" s="7">
        <v>32656</v>
      </c>
    </row>
    <row r="116" spans="1:11" x14ac:dyDescent="0.25">
      <c r="A116">
        <v>115</v>
      </c>
      <c r="B116" t="s">
        <v>2081</v>
      </c>
      <c r="C116" t="s">
        <v>75</v>
      </c>
      <c r="D116" t="s">
        <v>1610</v>
      </c>
      <c r="E116" s="7">
        <v>41095</v>
      </c>
      <c r="F116" t="s">
        <v>2082</v>
      </c>
      <c r="G116">
        <v>3612582627</v>
      </c>
      <c r="H116" t="s">
        <v>2083</v>
      </c>
      <c r="I116" t="s">
        <v>1634</v>
      </c>
      <c r="J116" t="s">
        <v>1663</v>
      </c>
      <c r="K116" s="7">
        <v>37015</v>
      </c>
    </row>
    <row r="117" spans="1:11" x14ac:dyDescent="0.25">
      <c r="A117">
        <v>116</v>
      </c>
      <c r="B117" t="s">
        <v>2084</v>
      </c>
      <c r="C117" t="s">
        <v>75</v>
      </c>
      <c r="D117" t="s">
        <v>1612</v>
      </c>
      <c r="E117" s="7">
        <v>38626</v>
      </c>
      <c r="F117" t="s">
        <v>2085</v>
      </c>
      <c r="G117" t="s">
        <v>2086</v>
      </c>
      <c r="H117" t="s">
        <v>2087</v>
      </c>
      <c r="I117" t="s">
        <v>1738</v>
      </c>
      <c r="J117" t="s">
        <v>1663</v>
      </c>
      <c r="K117" s="7">
        <v>29738</v>
      </c>
    </row>
    <row r="118" spans="1:11" x14ac:dyDescent="0.25">
      <c r="A118">
        <v>117</v>
      </c>
      <c r="B118" t="s">
        <v>2088</v>
      </c>
      <c r="C118" t="s">
        <v>83</v>
      </c>
      <c r="D118" t="s">
        <v>1606</v>
      </c>
      <c r="E118" s="7">
        <v>42813</v>
      </c>
      <c r="F118" t="s">
        <v>2089</v>
      </c>
      <c r="G118">
        <v>3114355538</v>
      </c>
      <c r="H118" t="s">
        <v>2090</v>
      </c>
      <c r="I118" t="s">
        <v>1639</v>
      </c>
      <c r="J118" t="s">
        <v>397</v>
      </c>
      <c r="K118" s="7">
        <v>29144</v>
      </c>
    </row>
    <row r="119" spans="1:11" x14ac:dyDescent="0.25">
      <c r="A119">
        <v>118</v>
      </c>
      <c r="B119" t="s">
        <v>2091</v>
      </c>
      <c r="C119" t="s">
        <v>75</v>
      </c>
      <c r="D119" t="s">
        <v>1614</v>
      </c>
      <c r="E119" s="7">
        <v>41492</v>
      </c>
      <c r="F119" t="s">
        <v>2092</v>
      </c>
      <c r="G119" t="s">
        <v>2093</v>
      </c>
      <c r="H119" t="s">
        <v>2094</v>
      </c>
      <c r="I119" t="s">
        <v>1634</v>
      </c>
      <c r="J119" t="s">
        <v>467</v>
      </c>
      <c r="K119" s="7">
        <v>33676</v>
      </c>
    </row>
    <row r="120" spans="1:11" x14ac:dyDescent="0.25">
      <c r="A120">
        <v>119</v>
      </c>
      <c r="B120" t="s">
        <v>2095</v>
      </c>
      <c r="C120" t="s">
        <v>75</v>
      </c>
      <c r="D120" t="s">
        <v>1598</v>
      </c>
      <c r="E120" s="7">
        <v>41707</v>
      </c>
      <c r="F120" t="s">
        <v>2096</v>
      </c>
      <c r="G120" t="s">
        <v>2097</v>
      </c>
      <c r="H120" t="s">
        <v>2098</v>
      </c>
      <c r="I120" t="s">
        <v>1738</v>
      </c>
      <c r="J120" t="s">
        <v>1663</v>
      </c>
      <c r="K120" s="7">
        <v>36450</v>
      </c>
    </row>
    <row r="121" spans="1:11" x14ac:dyDescent="0.25">
      <c r="A121">
        <v>120</v>
      </c>
      <c r="B121" t="s">
        <v>2099</v>
      </c>
      <c r="C121" t="s">
        <v>75</v>
      </c>
      <c r="D121" t="s">
        <v>1600</v>
      </c>
      <c r="E121" s="7">
        <v>45399</v>
      </c>
      <c r="F121" t="s">
        <v>2100</v>
      </c>
      <c r="G121" t="s">
        <v>2101</v>
      </c>
      <c r="H121" t="s">
        <v>2102</v>
      </c>
      <c r="I121" t="s">
        <v>1639</v>
      </c>
      <c r="J121" t="s">
        <v>467</v>
      </c>
      <c r="K121" s="7">
        <v>35847</v>
      </c>
    </row>
    <row r="122" spans="1:11" x14ac:dyDescent="0.25">
      <c r="A122">
        <v>121</v>
      </c>
      <c r="B122" t="s">
        <v>2103</v>
      </c>
      <c r="C122" t="s">
        <v>83</v>
      </c>
      <c r="D122" t="s">
        <v>1612</v>
      </c>
      <c r="E122" s="7">
        <v>39584</v>
      </c>
      <c r="F122" t="s">
        <v>2104</v>
      </c>
      <c r="G122" t="s">
        <v>2105</v>
      </c>
      <c r="H122" t="s">
        <v>2106</v>
      </c>
      <c r="I122" t="s">
        <v>1639</v>
      </c>
      <c r="J122" t="s">
        <v>1663</v>
      </c>
      <c r="K122" s="7">
        <v>27927</v>
      </c>
    </row>
    <row r="123" spans="1:11" x14ac:dyDescent="0.25">
      <c r="A123">
        <v>122</v>
      </c>
      <c r="B123" t="s">
        <v>2107</v>
      </c>
      <c r="C123" t="s">
        <v>75</v>
      </c>
      <c r="D123" t="s">
        <v>1596</v>
      </c>
      <c r="E123" s="7">
        <v>44446</v>
      </c>
      <c r="F123" t="s">
        <v>2108</v>
      </c>
      <c r="G123" t="s">
        <v>2109</v>
      </c>
      <c r="H123" t="s">
        <v>2110</v>
      </c>
      <c r="I123" t="s">
        <v>1645</v>
      </c>
      <c r="J123" t="s">
        <v>1640</v>
      </c>
      <c r="K123" s="7">
        <v>27400</v>
      </c>
    </row>
    <row r="124" spans="1:11" x14ac:dyDescent="0.25">
      <c r="A124">
        <v>123</v>
      </c>
      <c r="B124" t="s">
        <v>2111</v>
      </c>
      <c r="C124" t="s">
        <v>75</v>
      </c>
      <c r="D124" t="s">
        <v>1604</v>
      </c>
      <c r="E124" s="7">
        <v>39939</v>
      </c>
      <c r="F124" t="s">
        <v>2112</v>
      </c>
      <c r="G124" t="s">
        <v>2113</v>
      </c>
      <c r="H124" t="s">
        <v>2114</v>
      </c>
      <c r="I124" t="s">
        <v>1738</v>
      </c>
      <c r="J124" t="s">
        <v>1663</v>
      </c>
      <c r="K124" s="7">
        <v>24070</v>
      </c>
    </row>
    <row r="125" spans="1:11" x14ac:dyDescent="0.25">
      <c r="A125">
        <v>124</v>
      </c>
      <c r="B125" t="s">
        <v>2115</v>
      </c>
      <c r="C125" t="s">
        <v>83</v>
      </c>
      <c r="D125" t="s">
        <v>1604</v>
      </c>
      <c r="E125" s="7">
        <v>39760</v>
      </c>
      <c r="F125" t="s">
        <v>2116</v>
      </c>
      <c r="G125" t="s">
        <v>2117</v>
      </c>
      <c r="H125" t="s">
        <v>2118</v>
      </c>
      <c r="I125" t="s">
        <v>1639</v>
      </c>
      <c r="J125" t="s">
        <v>397</v>
      </c>
      <c r="K125" s="7">
        <v>28464</v>
      </c>
    </row>
    <row r="126" spans="1:11" x14ac:dyDescent="0.25">
      <c r="A126">
        <v>125</v>
      </c>
      <c r="B126" t="s">
        <v>2119</v>
      </c>
      <c r="C126" t="s">
        <v>75</v>
      </c>
      <c r="D126" t="s">
        <v>1612</v>
      </c>
      <c r="E126" s="7">
        <v>39393</v>
      </c>
      <c r="F126" t="s">
        <v>2120</v>
      </c>
      <c r="G126" t="s">
        <v>2121</v>
      </c>
      <c r="H126" t="s">
        <v>2122</v>
      </c>
      <c r="I126" t="s">
        <v>1645</v>
      </c>
      <c r="J126" t="s">
        <v>1649</v>
      </c>
      <c r="K126" s="7">
        <v>27012</v>
      </c>
    </row>
    <row r="127" spans="1:11" x14ac:dyDescent="0.25">
      <c r="A127">
        <v>126</v>
      </c>
      <c r="B127" t="s">
        <v>2123</v>
      </c>
      <c r="C127" t="s">
        <v>75</v>
      </c>
      <c r="D127" t="s">
        <v>1612</v>
      </c>
      <c r="E127" s="7">
        <v>43746</v>
      </c>
      <c r="F127" t="s">
        <v>2124</v>
      </c>
      <c r="G127" t="s">
        <v>2125</v>
      </c>
      <c r="H127" t="s">
        <v>2126</v>
      </c>
      <c r="I127" t="s">
        <v>1738</v>
      </c>
      <c r="J127" t="s">
        <v>397</v>
      </c>
      <c r="K127" s="7">
        <v>25036</v>
      </c>
    </row>
    <row r="128" spans="1:11" x14ac:dyDescent="0.25">
      <c r="A128">
        <v>127</v>
      </c>
      <c r="B128" t="s">
        <v>2127</v>
      </c>
      <c r="C128" t="s">
        <v>83</v>
      </c>
      <c r="D128" t="s">
        <v>1608</v>
      </c>
      <c r="E128" s="7">
        <v>38886</v>
      </c>
      <c r="F128" t="s">
        <v>2128</v>
      </c>
      <c r="G128" t="s">
        <v>2129</v>
      </c>
      <c r="H128" t="s">
        <v>2130</v>
      </c>
      <c r="I128" t="s">
        <v>1634</v>
      </c>
      <c r="J128" t="s">
        <v>1663</v>
      </c>
      <c r="K128" s="7">
        <v>25960</v>
      </c>
    </row>
    <row r="129" spans="1:11" x14ac:dyDescent="0.25">
      <c r="A129">
        <v>128</v>
      </c>
      <c r="B129" t="s">
        <v>2131</v>
      </c>
      <c r="C129" t="s">
        <v>75</v>
      </c>
      <c r="D129" t="s">
        <v>1600</v>
      </c>
      <c r="E129" s="7">
        <v>43036</v>
      </c>
      <c r="F129" t="s">
        <v>2132</v>
      </c>
      <c r="G129" t="s">
        <v>2133</v>
      </c>
      <c r="H129" t="s">
        <v>2134</v>
      </c>
      <c r="I129" t="s">
        <v>1645</v>
      </c>
      <c r="J129" t="s">
        <v>1663</v>
      </c>
      <c r="K129" s="7">
        <v>36466</v>
      </c>
    </row>
    <row r="130" spans="1:11" x14ac:dyDescent="0.25">
      <c r="A130">
        <v>129</v>
      </c>
      <c r="B130" t="s">
        <v>2135</v>
      </c>
      <c r="C130" t="s">
        <v>75</v>
      </c>
      <c r="D130" t="s">
        <v>1600</v>
      </c>
      <c r="E130" s="7">
        <v>43484</v>
      </c>
      <c r="F130" t="s">
        <v>2136</v>
      </c>
      <c r="G130" t="s">
        <v>2137</v>
      </c>
      <c r="H130" t="s">
        <v>2138</v>
      </c>
      <c r="I130" t="s">
        <v>1738</v>
      </c>
      <c r="J130" t="s">
        <v>1640</v>
      </c>
      <c r="K130" s="7">
        <v>30189</v>
      </c>
    </row>
    <row r="131" spans="1:11" x14ac:dyDescent="0.25">
      <c r="A131">
        <v>130</v>
      </c>
      <c r="B131" t="s">
        <v>2139</v>
      </c>
      <c r="C131" t="s">
        <v>75</v>
      </c>
      <c r="D131" t="s">
        <v>1612</v>
      </c>
      <c r="E131" s="7">
        <v>42285</v>
      </c>
      <c r="F131" t="s">
        <v>2140</v>
      </c>
      <c r="G131">
        <f>1-120-477-5999</f>
        <v>-6595</v>
      </c>
      <c r="H131" t="s">
        <v>2141</v>
      </c>
      <c r="I131" t="s">
        <v>1645</v>
      </c>
      <c r="J131" t="s">
        <v>1640</v>
      </c>
      <c r="K131" s="7">
        <v>30321</v>
      </c>
    </row>
    <row r="132" spans="1:11" x14ac:dyDescent="0.25">
      <c r="A132">
        <v>131</v>
      </c>
      <c r="B132" t="s">
        <v>2142</v>
      </c>
      <c r="C132" t="s">
        <v>75</v>
      </c>
      <c r="D132" t="s">
        <v>1600</v>
      </c>
      <c r="E132" s="7">
        <v>44210</v>
      </c>
      <c r="F132" t="s">
        <v>2143</v>
      </c>
      <c r="G132" t="s">
        <v>2144</v>
      </c>
      <c r="H132" t="s">
        <v>2145</v>
      </c>
      <c r="I132" t="s">
        <v>1738</v>
      </c>
      <c r="J132" t="s">
        <v>1649</v>
      </c>
      <c r="K132" s="7">
        <v>34630</v>
      </c>
    </row>
    <row r="133" spans="1:11" x14ac:dyDescent="0.25">
      <c r="A133">
        <v>132</v>
      </c>
      <c r="B133" t="s">
        <v>2146</v>
      </c>
      <c r="C133" t="s">
        <v>75</v>
      </c>
      <c r="D133" t="s">
        <v>1610</v>
      </c>
      <c r="E133" s="7">
        <v>38764</v>
      </c>
      <c r="F133" t="s">
        <v>2147</v>
      </c>
      <c r="G133" t="s">
        <v>2148</v>
      </c>
      <c r="H133" t="s">
        <v>2149</v>
      </c>
      <c r="I133" t="s">
        <v>1639</v>
      </c>
      <c r="J133" t="s">
        <v>1640</v>
      </c>
      <c r="K133" s="7">
        <v>25089</v>
      </c>
    </row>
    <row r="134" spans="1:11" x14ac:dyDescent="0.25">
      <c r="A134">
        <v>133</v>
      </c>
      <c r="B134" t="s">
        <v>2150</v>
      </c>
      <c r="C134" t="s">
        <v>83</v>
      </c>
      <c r="D134" t="s">
        <v>1602</v>
      </c>
      <c r="E134" s="7">
        <v>42640</v>
      </c>
      <c r="F134" t="s">
        <v>2151</v>
      </c>
      <c r="G134" t="s">
        <v>2152</v>
      </c>
      <c r="H134" t="s">
        <v>2153</v>
      </c>
      <c r="I134" t="s">
        <v>1639</v>
      </c>
      <c r="J134" t="s">
        <v>1663</v>
      </c>
      <c r="K134" s="7">
        <v>27723</v>
      </c>
    </row>
    <row r="135" spans="1:11" x14ac:dyDescent="0.25">
      <c r="A135">
        <v>134</v>
      </c>
      <c r="B135" t="s">
        <v>2154</v>
      </c>
      <c r="C135" t="s">
        <v>75</v>
      </c>
      <c r="D135" t="s">
        <v>1608</v>
      </c>
      <c r="E135" s="7">
        <v>42986</v>
      </c>
      <c r="F135" t="s">
        <v>2155</v>
      </c>
      <c r="G135" t="s">
        <v>2156</v>
      </c>
      <c r="H135" t="s">
        <v>2157</v>
      </c>
      <c r="I135" t="s">
        <v>1639</v>
      </c>
      <c r="J135" t="s">
        <v>1649</v>
      </c>
      <c r="K135" s="7">
        <v>28728</v>
      </c>
    </row>
    <row r="136" spans="1:11" x14ac:dyDescent="0.25">
      <c r="A136">
        <v>135</v>
      </c>
      <c r="B136" t="s">
        <v>2158</v>
      </c>
      <c r="C136" t="s">
        <v>75</v>
      </c>
      <c r="D136" t="s">
        <v>1598</v>
      </c>
      <c r="E136" s="7">
        <v>44870</v>
      </c>
      <c r="F136" t="s">
        <v>2159</v>
      </c>
      <c r="G136" t="s">
        <v>2160</v>
      </c>
      <c r="H136" t="s">
        <v>2161</v>
      </c>
      <c r="I136" t="s">
        <v>1654</v>
      </c>
      <c r="J136" t="s">
        <v>1663</v>
      </c>
      <c r="K136" s="7">
        <v>23566</v>
      </c>
    </row>
    <row r="137" spans="1:11" x14ac:dyDescent="0.25">
      <c r="A137">
        <v>136</v>
      </c>
      <c r="B137" t="s">
        <v>2162</v>
      </c>
      <c r="C137" t="s">
        <v>75</v>
      </c>
      <c r="D137" t="s">
        <v>1606</v>
      </c>
      <c r="E137" s="7">
        <v>45687</v>
      </c>
      <c r="F137" t="s">
        <v>2163</v>
      </c>
      <c r="G137">
        <v>4243872323</v>
      </c>
      <c r="H137" t="s">
        <v>2164</v>
      </c>
      <c r="I137" t="s">
        <v>1654</v>
      </c>
      <c r="J137" t="s">
        <v>1640</v>
      </c>
      <c r="K137" s="7">
        <v>36699</v>
      </c>
    </row>
    <row r="138" spans="1:11" x14ac:dyDescent="0.25">
      <c r="A138">
        <v>137</v>
      </c>
      <c r="B138" t="s">
        <v>2165</v>
      </c>
      <c r="C138" t="s">
        <v>83</v>
      </c>
      <c r="D138" t="s">
        <v>1600</v>
      </c>
      <c r="E138" s="7">
        <v>41791</v>
      </c>
      <c r="F138" t="s">
        <v>2166</v>
      </c>
      <c r="G138" t="s">
        <v>2167</v>
      </c>
      <c r="H138" t="s">
        <v>2168</v>
      </c>
      <c r="I138" t="s">
        <v>1645</v>
      </c>
      <c r="J138" t="s">
        <v>1640</v>
      </c>
      <c r="K138" s="7">
        <v>29454</v>
      </c>
    </row>
    <row r="139" spans="1:11" x14ac:dyDescent="0.25">
      <c r="A139">
        <v>138</v>
      </c>
      <c r="B139" t="s">
        <v>2169</v>
      </c>
      <c r="C139" t="s">
        <v>75</v>
      </c>
      <c r="D139" t="s">
        <v>1608</v>
      </c>
      <c r="E139" s="7">
        <v>39120</v>
      </c>
      <c r="F139" t="s">
        <v>2170</v>
      </c>
      <c r="G139" t="s">
        <v>2171</v>
      </c>
      <c r="H139" t="s">
        <v>2172</v>
      </c>
      <c r="I139" t="s">
        <v>1634</v>
      </c>
      <c r="J139" t="s">
        <v>1663</v>
      </c>
      <c r="K139" s="7">
        <v>26178</v>
      </c>
    </row>
    <row r="140" spans="1:11" x14ac:dyDescent="0.25">
      <c r="A140">
        <v>139</v>
      </c>
      <c r="B140" t="s">
        <v>2173</v>
      </c>
      <c r="C140" t="s">
        <v>83</v>
      </c>
      <c r="D140" t="s">
        <v>1600</v>
      </c>
      <c r="E140" s="7">
        <v>42112</v>
      </c>
      <c r="F140" t="s">
        <v>2174</v>
      </c>
      <c r="G140">
        <v>3058391309</v>
      </c>
      <c r="H140" t="s">
        <v>2175</v>
      </c>
      <c r="I140" t="s">
        <v>1639</v>
      </c>
      <c r="J140" t="s">
        <v>1640</v>
      </c>
      <c r="K140" s="7">
        <v>25656</v>
      </c>
    </row>
    <row r="141" spans="1:11" x14ac:dyDescent="0.25">
      <c r="A141">
        <v>140</v>
      </c>
      <c r="B141" t="s">
        <v>2176</v>
      </c>
      <c r="C141" t="s">
        <v>83</v>
      </c>
      <c r="D141" t="s">
        <v>1612</v>
      </c>
      <c r="E141" s="7">
        <v>41306</v>
      </c>
      <c r="F141" t="s">
        <v>2177</v>
      </c>
      <c r="G141" t="s">
        <v>2178</v>
      </c>
      <c r="H141" t="s">
        <v>2179</v>
      </c>
      <c r="I141" t="s">
        <v>1645</v>
      </c>
      <c r="J141" t="s">
        <v>1640</v>
      </c>
      <c r="K141" s="7">
        <v>25889</v>
      </c>
    </row>
    <row r="142" spans="1:11" x14ac:dyDescent="0.25">
      <c r="A142">
        <v>141</v>
      </c>
      <c r="B142" t="s">
        <v>2180</v>
      </c>
      <c r="C142" t="s">
        <v>83</v>
      </c>
      <c r="D142" t="s">
        <v>1596</v>
      </c>
      <c r="E142" s="7">
        <v>45232</v>
      </c>
      <c r="F142" t="s">
        <v>2181</v>
      </c>
      <c r="G142" t="s">
        <v>2182</v>
      </c>
      <c r="H142" t="s">
        <v>2183</v>
      </c>
      <c r="I142" t="s">
        <v>1738</v>
      </c>
      <c r="J142" t="s">
        <v>1640</v>
      </c>
      <c r="K142" s="7">
        <v>33320</v>
      </c>
    </row>
    <row r="143" spans="1:11" x14ac:dyDescent="0.25">
      <c r="A143">
        <v>142</v>
      </c>
      <c r="B143" t="s">
        <v>2184</v>
      </c>
      <c r="C143" t="s">
        <v>75</v>
      </c>
      <c r="D143" t="s">
        <v>1598</v>
      </c>
      <c r="E143" s="7">
        <v>43989</v>
      </c>
      <c r="F143" t="s">
        <v>2185</v>
      </c>
      <c r="G143" t="s">
        <v>2186</v>
      </c>
      <c r="H143" t="s">
        <v>2187</v>
      </c>
      <c r="I143" t="s">
        <v>1738</v>
      </c>
      <c r="J143" t="s">
        <v>1663</v>
      </c>
      <c r="K143" s="7">
        <v>37626</v>
      </c>
    </row>
    <row r="144" spans="1:11" x14ac:dyDescent="0.25">
      <c r="A144">
        <v>143</v>
      </c>
      <c r="B144" t="s">
        <v>2188</v>
      </c>
      <c r="C144" t="s">
        <v>75</v>
      </c>
      <c r="D144" t="s">
        <v>1610</v>
      </c>
      <c r="E144" s="7">
        <v>40605</v>
      </c>
      <c r="F144" t="s">
        <v>2189</v>
      </c>
      <c r="G144" t="s">
        <v>2190</v>
      </c>
      <c r="H144" t="s">
        <v>2191</v>
      </c>
      <c r="I144" t="s">
        <v>1634</v>
      </c>
      <c r="J144" t="s">
        <v>397</v>
      </c>
      <c r="K144" s="7">
        <v>28174</v>
      </c>
    </row>
    <row r="145" spans="1:11" x14ac:dyDescent="0.25">
      <c r="A145">
        <v>144</v>
      </c>
      <c r="B145" t="s">
        <v>2192</v>
      </c>
      <c r="C145" t="s">
        <v>83</v>
      </c>
      <c r="D145" t="s">
        <v>1608</v>
      </c>
      <c r="E145" s="7">
        <v>45355</v>
      </c>
      <c r="F145" t="s">
        <v>2193</v>
      </c>
      <c r="G145" t="s">
        <v>2194</v>
      </c>
      <c r="H145" t="s">
        <v>2195</v>
      </c>
      <c r="I145" t="s">
        <v>1654</v>
      </c>
      <c r="J145" t="s">
        <v>1649</v>
      </c>
      <c r="K145" s="7">
        <v>29020</v>
      </c>
    </row>
    <row r="146" spans="1:11" x14ac:dyDescent="0.25">
      <c r="A146">
        <v>145</v>
      </c>
      <c r="B146" t="s">
        <v>2196</v>
      </c>
      <c r="C146" t="s">
        <v>83</v>
      </c>
      <c r="D146" t="s">
        <v>1600</v>
      </c>
      <c r="E146" s="7">
        <v>43974</v>
      </c>
      <c r="F146" t="s">
        <v>2197</v>
      </c>
      <c r="G146" t="s">
        <v>2198</v>
      </c>
      <c r="H146" t="s">
        <v>2199</v>
      </c>
      <c r="I146" t="s">
        <v>1639</v>
      </c>
      <c r="J146" t="s">
        <v>1663</v>
      </c>
      <c r="K146" s="7">
        <v>32755</v>
      </c>
    </row>
    <row r="147" spans="1:11" x14ac:dyDescent="0.25">
      <c r="A147">
        <v>146</v>
      </c>
      <c r="B147" t="s">
        <v>2200</v>
      </c>
      <c r="C147" t="s">
        <v>75</v>
      </c>
      <c r="D147" t="s">
        <v>1600</v>
      </c>
      <c r="E147" s="7">
        <v>39846</v>
      </c>
      <c r="F147" t="s">
        <v>2201</v>
      </c>
      <c r="G147" t="s">
        <v>2202</v>
      </c>
      <c r="H147" t="s">
        <v>2203</v>
      </c>
      <c r="I147" t="s">
        <v>1639</v>
      </c>
      <c r="J147" t="s">
        <v>467</v>
      </c>
      <c r="K147" s="7">
        <v>28312</v>
      </c>
    </row>
    <row r="148" spans="1:11" x14ac:dyDescent="0.25">
      <c r="A148">
        <v>147</v>
      </c>
      <c r="B148" t="s">
        <v>2204</v>
      </c>
      <c r="C148" t="s">
        <v>75</v>
      </c>
      <c r="D148" t="s">
        <v>1606</v>
      </c>
      <c r="E148" s="7">
        <v>43011</v>
      </c>
      <c r="F148" t="s">
        <v>2205</v>
      </c>
      <c r="G148" t="s">
        <v>2206</v>
      </c>
      <c r="H148" t="s">
        <v>2207</v>
      </c>
      <c r="I148" t="s">
        <v>1639</v>
      </c>
      <c r="J148" t="s">
        <v>397</v>
      </c>
      <c r="K148" s="7">
        <v>32156</v>
      </c>
    </row>
    <row r="149" spans="1:11" x14ac:dyDescent="0.25">
      <c r="A149">
        <v>148</v>
      </c>
      <c r="B149" t="s">
        <v>2208</v>
      </c>
      <c r="C149" t="s">
        <v>75</v>
      </c>
      <c r="D149" t="s">
        <v>1596</v>
      </c>
      <c r="E149" s="7">
        <v>44101</v>
      </c>
      <c r="F149" t="s">
        <v>2209</v>
      </c>
      <c r="G149" t="s">
        <v>2210</v>
      </c>
      <c r="H149" t="s">
        <v>2211</v>
      </c>
      <c r="I149" t="s">
        <v>1639</v>
      </c>
      <c r="J149" t="s">
        <v>1649</v>
      </c>
      <c r="K149" s="7">
        <v>32479</v>
      </c>
    </row>
    <row r="150" spans="1:11" x14ac:dyDescent="0.25">
      <c r="A150">
        <v>149</v>
      </c>
      <c r="B150" t="s">
        <v>2212</v>
      </c>
      <c r="C150" t="s">
        <v>83</v>
      </c>
      <c r="D150" t="s">
        <v>1596</v>
      </c>
      <c r="E150" s="7">
        <v>43817</v>
      </c>
      <c r="F150" t="s">
        <v>2213</v>
      </c>
      <c r="G150" t="s">
        <v>2214</v>
      </c>
      <c r="H150" t="s">
        <v>2215</v>
      </c>
      <c r="I150" t="s">
        <v>1639</v>
      </c>
      <c r="J150" t="s">
        <v>1640</v>
      </c>
      <c r="K150" s="7">
        <v>25668</v>
      </c>
    </row>
    <row r="151" spans="1:11" x14ac:dyDescent="0.25">
      <c r="A151">
        <v>150</v>
      </c>
      <c r="B151" t="s">
        <v>2216</v>
      </c>
      <c r="C151" t="s">
        <v>75</v>
      </c>
      <c r="D151" t="s">
        <v>1606</v>
      </c>
      <c r="E151" s="7">
        <v>44746</v>
      </c>
      <c r="F151" t="s">
        <v>2217</v>
      </c>
      <c r="G151" t="s">
        <v>2218</v>
      </c>
      <c r="H151" t="s">
        <v>2219</v>
      </c>
      <c r="I151" t="s">
        <v>1639</v>
      </c>
      <c r="J151" t="s">
        <v>397</v>
      </c>
      <c r="K151" s="7">
        <v>31336</v>
      </c>
    </row>
    <row r="152" spans="1:11" x14ac:dyDescent="0.25">
      <c r="A152">
        <v>151</v>
      </c>
      <c r="B152" t="s">
        <v>2220</v>
      </c>
      <c r="C152" t="s">
        <v>75</v>
      </c>
      <c r="D152" t="s">
        <v>1604</v>
      </c>
      <c r="E152" s="7">
        <v>39170</v>
      </c>
      <c r="F152" t="s">
        <v>2221</v>
      </c>
      <c r="G152" t="s">
        <v>2222</v>
      </c>
      <c r="H152" t="s">
        <v>2223</v>
      </c>
      <c r="I152" t="s">
        <v>1738</v>
      </c>
      <c r="J152" t="s">
        <v>1649</v>
      </c>
      <c r="K152" s="7">
        <v>37485</v>
      </c>
    </row>
    <row r="153" spans="1:11" x14ac:dyDescent="0.25">
      <c r="A153">
        <v>152</v>
      </c>
      <c r="B153" t="s">
        <v>2224</v>
      </c>
      <c r="C153" t="s">
        <v>83</v>
      </c>
      <c r="D153" t="s">
        <v>1602</v>
      </c>
      <c r="E153" s="7">
        <v>40827</v>
      </c>
      <c r="F153" t="s">
        <v>2225</v>
      </c>
      <c r="G153" t="s">
        <v>2226</v>
      </c>
      <c r="H153" t="s">
        <v>2227</v>
      </c>
      <c r="I153" t="s">
        <v>1639</v>
      </c>
      <c r="J153" t="s">
        <v>467</v>
      </c>
      <c r="K153" s="7">
        <v>30292</v>
      </c>
    </row>
    <row r="154" spans="1:11" x14ac:dyDescent="0.25">
      <c r="A154">
        <v>153</v>
      </c>
      <c r="B154" t="s">
        <v>2228</v>
      </c>
      <c r="C154" t="s">
        <v>83</v>
      </c>
      <c r="D154" t="s">
        <v>1598</v>
      </c>
      <c r="E154" s="7">
        <v>39586</v>
      </c>
      <c r="F154" t="s">
        <v>2229</v>
      </c>
      <c r="G154">
        <v>3964773051</v>
      </c>
      <c r="H154" t="s">
        <v>2230</v>
      </c>
      <c r="I154" t="s">
        <v>1639</v>
      </c>
      <c r="J154" t="s">
        <v>1640</v>
      </c>
      <c r="K154" s="7">
        <v>31885</v>
      </c>
    </row>
    <row r="155" spans="1:11" x14ac:dyDescent="0.25">
      <c r="A155">
        <v>154</v>
      </c>
      <c r="B155" t="s">
        <v>2231</v>
      </c>
      <c r="C155" t="s">
        <v>83</v>
      </c>
      <c r="D155" t="s">
        <v>1614</v>
      </c>
      <c r="E155" s="7">
        <v>41605</v>
      </c>
      <c r="F155" t="s">
        <v>2232</v>
      </c>
      <c r="G155" t="s">
        <v>2233</v>
      </c>
      <c r="H155" t="s">
        <v>2234</v>
      </c>
      <c r="I155" t="s">
        <v>1645</v>
      </c>
      <c r="J155" t="s">
        <v>397</v>
      </c>
      <c r="K155" s="7">
        <v>25813</v>
      </c>
    </row>
    <row r="156" spans="1:11" x14ac:dyDescent="0.25">
      <c r="A156">
        <v>155</v>
      </c>
      <c r="B156" t="s">
        <v>2235</v>
      </c>
      <c r="C156" t="s">
        <v>75</v>
      </c>
      <c r="D156" t="s">
        <v>1602</v>
      </c>
      <c r="E156" s="7">
        <v>42057</v>
      </c>
      <c r="F156" t="s">
        <v>2236</v>
      </c>
      <c r="G156" t="s">
        <v>2237</v>
      </c>
      <c r="H156" t="s">
        <v>2238</v>
      </c>
      <c r="I156" t="s">
        <v>1738</v>
      </c>
      <c r="J156" t="s">
        <v>1663</v>
      </c>
      <c r="K156" s="7">
        <v>30201</v>
      </c>
    </row>
    <row r="157" spans="1:11" x14ac:dyDescent="0.25">
      <c r="A157">
        <v>156</v>
      </c>
      <c r="B157" t="s">
        <v>2239</v>
      </c>
      <c r="C157" t="s">
        <v>75</v>
      </c>
      <c r="D157" t="s">
        <v>1596</v>
      </c>
      <c r="E157" s="7">
        <v>40230</v>
      </c>
      <c r="F157" t="s">
        <v>2240</v>
      </c>
      <c r="G157" t="s">
        <v>2241</v>
      </c>
      <c r="H157" t="s">
        <v>2242</v>
      </c>
      <c r="I157" t="s">
        <v>1634</v>
      </c>
      <c r="J157" t="s">
        <v>467</v>
      </c>
      <c r="K157" s="7">
        <v>27071</v>
      </c>
    </row>
    <row r="158" spans="1:11" x14ac:dyDescent="0.25">
      <c r="A158">
        <v>157</v>
      </c>
      <c r="B158" t="s">
        <v>2243</v>
      </c>
      <c r="C158" t="s">
        <v>83</v>
      </c>
      <c r="D158" t="s">
        <v>1608</v>
      </c>
      <c r="E158" s="7">
        <v>41254</v>
      </c>
      <c r="F158" t="s">
        <v>2244</v>
      </c>
      <c r="G158" t="s">
        <v>2245</v>
      </c>
      <c r="H158" t="s">
        <v>2246</v>
      </c>
      <c r="I158" t="s">
        <v>1639</v>
      </c>
      <c r="J158" t="s">
        <v>467</v>
      </c>
      <c r="K158" s="7">
        <v>26644</v>
      </c>
    </row>
    <row r="159" spans="1:11" x14ac:dyDescent="0.25">
      <c r="A159">
        <v>158</v>
      </c>
      <c r="B159" t="s">
        <v>2247</v>
      </c>
      <c r="C159" t="s">
        <v>83</v>
      </c>
      <c r="D159" t="s">
        <v>1604</v>
      </c>
      <c r="E159" s="7">
        <v>40624</v>
      </c>
      <c r="F159" t="s">
        <v>2248</v>
      </c>
      <c r="G159" t="s">
        <v>2249</v>
      </c>
      <c r="H159" t="s">
        <v>2250</v>
      </c>
      <c r="I159" t="s">
        <v>1634</v>
      </c>
      <c r="J159" t="s">
        <v>1640</v>
      </c>
      <c r="K159" s="7">
        <v>31036</v>
      </c>
    </row>
    <row r="160" spans="1:11" x14ac:dyDescent="0.25">
      <c r="A160">
        <v>159</v>
      </c>
      <c r="B160" t="s">
        <v>2251</v>
      </c>
      <c r="C160" t="s">
        <v>75</v>
      </c>
      <c r="D160" t="s">
        <v>1614</v>
      </c>
      <c r="E160" s="7">
        <v>40023</v>
      </c>
      <c r="F160" t="s">
        <v>2252</v>
      </c>
      <c r="G160">
        <v>1074153680</v>
      </c>
      <c r="H160" t="s">
        <v>2253</v>
      </c>
      <c r="I160" t="s">
        <v>1639</v>
      </c>
      <c r="J160" t="s">
        <v>1640</v>
      </c>
      <c r="K160" s="7">
        <v>31453</v>
      </c>
    </row>
    <row r="161" spans="1:11" x14ac:dyDescent="0.25">
      <c r="A161">
        <v>160</v>
      </c>
      <c r="B161" t="s">
        <v>2254</v>
      </c>
      <c r="C161" t="s">
        <v>83</v>
      </c>
      <c r="D161" t="s">
        <v>1602</v>
      </c>
      <c r="E161" s="7">
        <v>45737</v>
      </c>
      <c r="F161" t="s">
        <v>2255</v>
      </c>
      <c r="G161">
        <f>1-256-341-8985</f>
        <v>-9581</v>
      </c>
      <c r="H161" t="s">
        <v>2256</v>
      </c>
      <c r="I161" t="s">
        <v>1738</v>
      </c>
      <c r="J161" t="s">
        <v>467</v>
      </c>
      <c r="K161" s="7">
        <v>33182</v>
      </c>
    </row>
    <row r="162" spans="1:11" x14ac:dyDescent="0.25">
      <c r="A162">
        <v>161</v>
      </c>
      <c r="B162" t="s">
        <v>2257</v>
      </c>
      <c r="C162" t="s">
        <v>83</v>
      </c>
      <c r="D162" t="s">
        <v>1596</v>
      </c>
      <c r="E162" s="7">
        <v>43447</v>
      </c>
      <c r="F162" t="s">
        <v>2258</v>
      </c>
      <c r="G162">
        <v>2299598869</v>
      </c>
      <c r="H162" t="s">
        <v>2259</v>
      </c>
      <c r="I162" t="s">
        <v>1654</v>
      </c>
      <c r="J162" t="s">
        <v>1663</v>
      </c>
      <c r="K162" s="7">
        <v>25769</v>
      </c>
    </row>
    <row r="163" spans="1:11" x14ac:dyDescent="0.25">
      <c r="A163">
        <v>162</v>
      </c>
      <c r="B163" t="s">
        <v>2260</v>
      </c>
      <c r="C163" t="s">
        <v>75</v>
      </c>
      <c r="D163" t="s">
        <v>1598</v>
      </c>
      <c r="E163" s="7">
        <v>42993</v>
      </c>
      <c r="F163" t="s">
        <v>2261</v>
      </c>
      <c r="G163" t="s">
        <v>2262</v>
      </c>
      <c r="H163" t="s">
        <v>2263</v>
      </c>
      <c r="I163" t="s">
        <v>1639</v>
      </c>
      <c r="J163" t="s">
        <v>1649</v>
      </c>
      <c r="K163" s="7">
        <v>32356</v>
      </c>
    </row>
    <row r="164" spans="1:11" x14ac:dyDescent="0.25">
      <c r="A164">
        <v>163</v>
      </c>
      <c r="B164" t="s">
        <v>2264</v>
      </c>
      <c r="C164" t="s">
        <v>83</v>
      </c>
      <c r="D164" t="s">
        <v>1598</v>
      </c>
      <c r="E164" s="7">
        <v>39405</v>
      </c>
      <c r="F164" t="s">
        <v>2265</v>
      </c>
      <c r="G164" t="s">
        <v>2266</v>
      </c>
      <c r="H164" t="s">
        <v>2267</v>
      </c>
      <c r="I164" t="s">
        <v>1634</v>
      </c>
      <c r="J164" t="s">
        <v>467</v>
      </c>
      <c r="K164" s="7">
        <v>36157</v>
      </c>
    </row>
    <row r="165" spans="1:11" x14ac:dyDescent="0.25">
      <c r="A165">
        <v>164</v>
      </c>
      <c r="B165" t="s">
        <v>1814</v>
      </c>
      <c r="C165" t="s">
        <v>75</v>
      </c>
      <c r="D165" t="s">
        <v>1596</v>
      </c>
      <c r="E165" s="7">
        <v>42799</v>
      </c>
      <c r="F165" t="s">
        <v>2268</v>
      </c>
      <c r="G165" t="s">
        <v>2269</v>
      </c>
      <c r="H165" t="s">
        <v>2270</v>
      </c>
      <c r="I165" t="s">
        <v>1645</v>
      </c>
      <c r="J165" t="s">
        <v>467</v>
      </c>
      <c r="K165" s="7">
        <v>35488</v>
      </c>
    </row>
    <row r="166" spans="1:11" x14ac:dyDescent="0.25">
      <c r="A166">
        <v>165</v>
      </c>
      <c r="B166" t="s">
        <v>2271</v>
      </c>
      <c r="C166" t="s">
        <v>75</v>
      </c>
      <c r="D166" t="s">
        <v>1614</v>
      </c>
      <c r="E166" s="7">
        <v>39163</v>
      </c>
      <c r="F166" t="s">
        <v>2272</v>
      </c>
      <c r="G166" t="s">
        <v>2273</v>
      </c>
      <c r="H166" t="s">
        <v>2274</v>
      </c>
      <c r="I166" t="s">
        <v>1645</v>
      </c>
      <c r="J166" t="s">
        <v>1649</v>
      </c>
      <c r="K166" s="7">
        <v>30903</v>
      </c>
    </row>
    <row r="167" spans="1:11" x14ac:dyDescent="0.25">
      <c r="A167">
        <v>166</v>
      </c>
      <c r="B167" t="s">
        <v>2275</v>
      </c>
      <c r="C167" t="s">
        <v>75</v>
      </c>
      <c r="D167" t="s">
        <v>1612</v>
      </c>
      <c r="E167" s="7">
        <v>38856</v>
      </c>
      <c r="F167" t="s">
        <v>2276</v>
      </c>
      <c r="G167" t="s">
        <v>2277</v>
      </c>
      <c r="H167" t="s">
        <v>2278</v>
      </c>
      <c r="I167" t="s">
        <v>1634</v>
      </c>
      <c r="J167" t="s">
        <v>1663</v>
      </c>
      <c r="K167" s="7">
        <v>24164</v>
      </c>
    </row>
    <row r="168" spans="1:11" x14ac:dyDescent="0.25">
      <c r="A168">
        <v>167</v>
      </c>
      <c r="B168" t="s">
        <v>2279</v>
      </c>
      <c r="C168" t="s">
        <v>75</v>
      </c>
      <c r="D168" t="s">
        <v>1610</v>
      </c>
      <c r="E168" s="7">
        <v>39425</v>
      </c>
      <c r="F168" t="s">
        <v>2280</v>
      </c>
      <c r="G168" t="s">
        <v>2281</v>
      </c>
      <c r="H168" t="s">
        <v>2282</v>
      </c>
      <c r="I168" t="s">
        <v>1738</v>
      </c>
      <c r="J168" t="s">
        <v>397</v>
      </c>
      <c r="K168" s="7">
        <v>36690</v>
      </c>
    </row>
    <row r="169" spans="1:11" x14ac:dyDescent="0.25">
      <c r="A169">
        <v>168</v>
      </c>
      <c r="B169" t="s">
        <v>2283</v>
      </c>
      <c r="C169" t="s">
        <v>75</v>
      </c>
      <c r="D169" t="s">
        <v>1596</v>
      </c>
      <c r="E169" s="7">
        <v>40717</v>
      </c>
      <c r="F169" t="s">
        <v>2284</v>
      </c>
      <c r="G169" t="s">
        <v>2285</v>
      </c>
      <c r="H169" t="s">
        <v>2286</v>
      </c>
      <c r="I169" t="s">
        <v>1738</v>
      </c>
      <c r="J169" t="s">
        <v>1663</v>
      </c>
      <c r="K169" s="7">
        <v>26875</v>
      </c>
    </row>
    <row r="170" spans="1:11" x14ac:dyDescent="0.25">
      <c r="A170">
        <v>169</v>
      </c>
      <c r="B170" t="s">
        <v>2287</v>
      </c>
      <c r="C170" t="s">
        <v>75</v>
      </c>
      <c r="D170" t="s">
        <v>1600</v>
      </c>
      <c r="E170" s="7">
        <v>40982</v>
      </c>
      <c r="F170" t="s">
        <v>2288</v>
      </c>
      <c r="G170" t="s">
        <v>2289</v>
      </c>
      <c r="H170" t="s">
        <v>2290</v>
      </c>
      <c r="I170" t="s">
        <v>1634</v>
      </c>
      <c r="J170" t="s">
        <v>1640</v>
      </c>
      <c r="K170" s="7">
        <v>28679</v>
      </c>
    </row>
    <row r="171" spans="1:11" x14ac:dyDescent="0.25">
      <c r="A171">
        <v>170</v>
      </c>
      <c r="B171" t="s">
        <v>2291</v>
      </c>
      <c r="C171" t="s">
        <v>75</v>
      </c>
      <c r="D171" t="s">
        <v>1602</v>
      </c>
      <c r="E171" s="7">
        <v>39751</v>
      </c>
      <c r="F171" t="s">
        <v>2292</v>
      </c>
      <c r="G171" t="s">
        <v>2293</v>
      </c>
      <c r="H171" t="s">
        <v>2294</v>
      </c>
      <c r="I171" t="s">
        <v>1645</v>
      </c>
      <c r="J171" t="s">
        <v>1663</v>
      </c>
      <c r="K171" s="7">
        <v>30355</v>
      </c>
    </row>
    <row r="172" spans="1:11" x14ac:dyDescent="0.25">
      <c r="A172">
        <v>171</v>
      </c>
      <c r="B172" t="s">
        <v>2295</v>
      </c>
      <c r="C172" t="s">
        <v>83</v>
      </c>
      <c r="D172" t="s">
        <v>1598</v>
      </c>
      <c r="E172" s="7">
        <v>41931</v>
      </c>
      <c r="F172" t="s">
        <v>2296</v>
      </c>
      <c r="G172" t="s">
        <v>2297</v>
      </c>
      <c r="H172" t="s">
        <v>2298</v>
      </c>
      <c r="I172" t="s">
        <v>1634</v>
      </c>
      <c r="J172" t="s">
        <v>467</v>
      </c>
      <c r="K172" s="7">
        <v>33305</v>
      </c>
    </row>
    <row r="173" spans="1:11" x14ac:dyDescent="0.25">
      <c r="A173">
        <v>172</v>
      </c>
      <c r="B173" t="s">
        <v>2299</v>
      </c>
      <c r="C173" t="s">
        <v>75</v>
      </c>
      <c r="D173" t="s">
        <v>1602</v>
      </c>
      <c r="E173" s="7">
        <v>45734</v>
      </c>
      <c r="F173" t="s">
        <v>2300</v>
      </c>
      <c r="G173" t="s">
        <v>2301</v>
      </c>
      <c r="H173" t="s">
        <v>2302</v>
      </c>
      <c r="I173" t="s">
        <v>1645</v>
      </c>
      <c r="J173" t="s">
        <v>467</v>
      </c>
      <c r="K173" s="7">
        <v>31056</v>
      </c>
    </row>
    <row r="174" spans="1:11" x14ac:dyDescent="0.25">
      <c r="A174">
        <v>173</v>
      </c>
      <c r="B174" t="s">
        <v>2303</v>
      </c>
      <c r="C174" t="s">
        <v>75</v>
      </c>
      <c r="D174" t="s">
        <v>1600</v>
      </c>
      <c r="E174" s="7">
        <v>42554</v>
      </c>
      <c r="F174" t="s">
        <v>2304</v>
      </c>
      <c r="G174">
        <v>5640639217</v>
      </c>
      <c r="H174" t="s">
        <v>2305</v>
      </c>
      <c r="I174" t="s">
        <v>1639</v>
      </c>
      <c r="J174" t="s">
        <v>1649</v>
      </c>
      <c r="K174" s="7">
        <v>25553</v>
      </c>
    </row>
    <row r="175" spans="1:11" x14ac:dyDescent="0.25">
      <c r="A175">
        <v>174</v>
      </c>
      <c r="B175" t="s">
        <v>2306</v>
      </c>
      <c r="C175" t="s">
        <v>83</v>
      </c>
      <c r="D175" t="s">
        <v>1610</v>
      </c>
      <c r="E175" s="7">
        <v>38905</v>
      </c>
      <c r="F175" t="s">
        <v>2307</v>
      </c>
      <c r="G175">
        <v>395290180</v>
      </c>
      <c r="H175" t="s">
        <v>2308</v>
      </c>
      <c r="I175" t="s">
        <v>1645</v>
      </c>
      <c r="J175" t="s">
        <v>397</v>
      </c>
      <c r="K175" s="7">
        <v>37102</v>
      </c>
    </row>
    <row r="176" spans="1:11" x14ac:dyDescent="0.25">
      <c r="A176">
        <v>175</v>
      </c>
      <c r="B176" t="s">
        <v>2309</v>
      </c>
      <c r="C176" t="s">
        <v>75</v>
      </c>
      <c r="D176" t="s">
        <v>1610</v>
      </c>
      <c r="E176" s="7">
        <v>41380</v>
      </c>
      <c r="F176" t="s">
        <v>2310</v>
      </c>
      <c r="G176" t="s">
        <v>2311</v>
      </c>
      <c r="H176" t="s">
        <v>2312</v>
      </c>
      <c r="I176" t="s">
        <v>1738</v>
      </c>
      <c r="J176" t="s">
        <v>1640</v>
      </c>
      <c r="K176" s="7">
        <v>23887</v>
      </c>
    </row>
    <row r="177" spans="1:11" x14ac:dyDescent="0.25">
      <c r="A177">
        <v>176</v>
      </c>
      <c r="B177" t="s">
        <v>2313</v>
      </c>
      <c r="C177" t="s">
        <v>83</v>
      </c>
      <c r="D177" t="s">
        <v>1606</v>
      </c>
      <c r="E177" s="7">
        <v>44866</v>
      </c>
      <c r="F177" t="s">
        <v>2314</v>
      </c>
      <c r="G177" t="s">
        <v>2315</v>
      </c>
      <c r="H177" t="s">
        <v>2316</v>
      </c>
      <c r="I177" t="s">
        <v>1639</v>
      </c>
      <c r="J177" t="s">
        <v>1640</v>
      </c>
      <c r="K177" s="7">
        <v>31407</v>
      </c>
    </row>
    <row r="178" spans="1:11" x14ac:dyDescent="0.25">
      <c r="A178">
        <v>177</v>
      </c>
      <c r="B178" t="s">
        <v>2317</v>
      </c>
      <c r="C178" t="s">
        <v>83</v>
      </c>
      <c r="D178" t="s">
        <v>1600</v>
      </c>
      <c r="E178" s="7">
        <v>43533</v>
      </c>
      <c r="F178" t="s">
        <v>2318</v>
      </c>
      <c r="G178" t="s">
        <v>2319</v>
      </c>
      <c r="H178" t="s">
        <v>2320</v>
      </c>
      <c r="I178" t="s">
        <v>1654</v>
      </c>
      <c r="J178" t="s">
        <v>1640</v>
      </c>
      <c r="K178" s="7">
        <v>36771</v>
      </c>
    </row>
    <row r="179" spans="1:11" x14ac:dyDescent="0.25">
      <c r="A179">
        <v>178</v>
      </c>
      <c r="B179" t="s">
        <v>2321</v>
      </c>
      <c r="C179" t="s">
        <v>83</v>
      </c>
      <c r="D179" t="s">
        <v>1600</v>
      </c>
      <c r="E179" s="7">
        <v>41669</v>
      </c>
      <c r="F179" t="s">
        <v>2322</v>
      </c>
      <c r="G179" t="s">
        <v>2323</v>
      </c>
      <c r="H179" t="s">
        <v>2324</v>
      </c>
      <c r="I179" t="s">
        <v>1738</v>
      </c>
      <c r="J179" t="s">
        <v>397</v>
      </c>
      <c r="K179" s="7">
        <v>33925</v>
      </c>
    </row>
    <row r="180" spans="1:11" x14ac:dyDescent="0.25">
      <c r="A180">
        <v>179</v>
      </c>
      <c r="B180" t="s">
        <v>2325</v>
      </c>
      <c r="C180" t="s">
        <v>83</v>
      </c>
      <c r="D180" t="s">
        <v>1602</v>
      </c>
      <c r="E180" s="7">
        <v>43249</v>
      </c>
      <c r="F180" t="s">
        <v>2326</v>
      </c>
      <c r="G180" t="s">
        <v>2327</v>
      </c>
      <c r="H180" t="s">
        <v>2328</v>
      </c>
      <c r="I180" t="s">
        <v>1738</v>
      </c>
      <c r="J180" t="s">
        <v>397</v>
      </c>
      <c r="K180" s="7">
        <v>26164</v>
      </c>
    </row>
    <row r="181" spans="1:11" x14ac:dyDescent="0.25">
      <c r="A181">
        <v>180</v>
      </c>
      <c r="B181" t="s">
        <v>2329</v>
      </c>
      <c r="C181" t="s">
        <v>83</v>
      </c>
      <c r="D181" t="s">
        <v>1612</v>
      </c>
      <c r="E181" s="7">
        <v>40955</v>
      </c>
      <c r="F181" t="s">
        <v>2330</v>
      </c>
      <c r="G181" t="s">
        <v>2331</v>
      </c>
      <c r="H181" t="s">
        <v>2332</v>
      </c>
      <c r="I181" t="s">
        <v>1634</v>
      </c>
      <c r="J181" t="s">
        <v>1663</v>
      </c>
      <c r="K181" s="7">
        <v>30473</v>
      </c>
    </row>
    <row r="182" spans="1:11" x14ac:dyDescent="0.25">
      <c r="A182">
        <v>181</v>
      </c>
      <c r="B182" t="s">
        <v>2333</v>
      </c>
      <c r="C182" t="s">
        <v>75</v>
      </c>
      <c r="D182" t="s">
        <v>1598</v>
      </c>
      <c r="E182" s="7">
        <v>44643</v>
      </c>
      <c r="F182" t="s">
        <v>2334</v>
      </c>
      <c r="G182" t="s">
        <v>2335</v>
      </c>
      <c r="H182" t="s">
        <v>2336</v>
      </c>
      <c r="I182" t="s">
        <v>1738</v>
      </c>
      <c r="J182" t="s">
        <v>1663</v>
      </c>
      <c r="K182" s="7">
        <v>32804</v>
      </c>
    </row>
    <row r="183" spans="1:11" x14ac:dyDescent="0.25">
      <c r="A183">
        <v>182</v>
      </c>
      <c r="B183" t="s">
        <v>2337</v>
      </c>
      <c r="C183" t="s">
        <v>83</v>
      </c>
      <c r="D183" t="s">
        <v>1610</v>
      </c>
      <c r="E183" s="7">
        <v>44748</v>
      </c>
      <c r="F183" t="s">
        <v>2338</v>
      </c>
      <c r="G183" t="s">
        <v>2339</v>
      </c>
      <c r="H183" t="s">
        <v>2340</v>
      </c>
      <c r="I183" t="s">
        <v>1654</v>
      </c>
      <c r="J183" t="s">
        <v>1640</v>
      </c>
      <c r="K183" s="7">
        <v>29584</v>
      </c>
    </row>
    <row r="184" spans="1:11" x14ac:dyDescent="0.25">
      <c r="A184">
        <v>183</v>
      </c>
      <c r="B184" t="s">
        <v>2341</v>
      </c>
      <c r="C184" t="s">
        <v>75</v>
      </c>
      <c r="D184" t="s">
        <v>1610</v>
      </c>
      <c r="E184" s="7">
        <v>45142</v>
      </c>
      <c r="F184" t="s">
        <v>2342</v>
      </c>
      <c r="G184" t="s">
        <v>2343</v>
      </c>
      <c r="H184" t="s">
        <v>2344</v>
      </c>
      <c r="I184" t="s">
        <v>1738</v>
      </c>
      <c r="J184" t="s">
        <v>1640</v>
      </c>
      <c r="K184" s="7">
        <v>24207</v>
      </c>
    </row>
    <row r="185" spans="1:11" x14ac:dyDescent="0.25">
      <c r="A185">
        <v>184</v>
      </c>
      <c r="B185" t="s">
        <v>2345</v>
      </c>
      <c r="C185" t="s">
        <v>75</v>
      </c>
      <c r="D185" t="s">
        <v>1606</v>
      </c>
      <c r="E185" s="7">
        <v>44911</v>
      </c>
      <c r="F185" t="s">
        <v>2346</v>
      </c>
      <c r="G185" t="s">
        <v>2347</v>
      </c>
      <c r="H185" t="s">
        <v>2348</v>
      </c>
      <c r="I185" t="s">
        <v>1634</v>
      </c>
      <c r="J185" t="s">
        <v>1640</v>
      </c>
      <c r="K185" s="7">
        <v>36300</v>
      </c>
    </row>
    <row r="186" spans="1:11" x14ac:dyDescent="0.25">
      <c r="A186">
        <v>185</v>
      </c>
      <c r="B186" t="s">
        <v>2349</v>
      </c>
      <c r="C186" t="s">
        <v>83</v>
      </c>
      <c r="D186" t="s">
        <v>1600</v>
      </c>
      <c r="E186" s="7">
        <v>45027</v>
      </c>
      <c r="F186" t="s">
        <v>2350</v>
      </c>
      <c r="G186" t="s">
        <v>2351</v>
      </c>
      <c r="H186" t="s">
        <v>2352</v>
      </c>
      <c r="I186" t="s">
        <v>1634</v>
      </c>
      <c r="J186" t="s">
        <v>1640</v>
      </c>
      <c r="K186" s="7">
        <v>26659</v>
      </c>
    </row>
    <row r="187" spans="1:11" x14ac:dyDescent="0.25">
      <c r="A187">
        <v>186</v>
      </c>
      <c r="B187" t="s">
        <v>2353</v>
      </c>
      <c r="C187" t="s">
        <v>75</v>
      </c>
      <c r="D187" t="s">
        <v>1604</v>
      </c>
      <c r="E187" s="7">
        <v>44595</v>
      </c>
      <c r="F187" t="s">
        <v>2354</v>
      </c>
      <c r="G187" t="s">
        <v>2355</v>
      </c>
      <c r="H187" t="s">
        <v>2356</v>
      </c>
      <c r="I187" t="s">
        <v>1738</v>
      </c>
      <c r="J187" t="s">
        <v>397</v>
      </c>
      <c r="K187" s="7">
        <v>37243</v>
      </c>
    </row>
    <row r="188" spans="1:11" x14ac:dyDescent="0.25">
      <c r="A188">
        <v>187</v>
      </c>
      <c r="B188" t="s">
        <v>2357</v>
      </c>
      <c r="C188" t="s">
        <v>75</v>
      </c>
      <c r="D188" t="s">
        <v>1612</v>
      </c>
      <c r="E188" s="7">
        <v>45208</v>
      </c>
      <c r="F188" t="s">
        <v>2358</v>
      </c>
      <c r="G188">
        <v>7209042471</v>
      </c>
      <c r="H188" t="s">
        <v>2359</v>
      </c>
      <c r="I188" t="s">
        <v>1639</v>
      </c>
      <c r="J188" t="s">
        <v>1663</v>
      </c>
      <c r="K188" s="7">
        <v>35969</v>
      </c>
    </row>
    <row r="189" spans="1:11" x14ac:dyDescent="0.25">
      <c r="A189">
        <v>188</v>
      </c>
      <c r="B189" t="s">
        <v>2360</v>
      </c>
      <c r="C189" t="s">
        <v>75</v>
      </c>
      <c r="D189" t="s">
        <v>1604</v>
      </c>
      <c r="E189" s="7">
        <v>41577</v>
      </c>
      <c r="F189" t="s">
        <v>2361</v>
      </c>
      <c r="G189" t="s">
        <v>2362</v>
      </c>
      <c r="H189" t="s">
        <v>2363</v>
      </c>
      <c r="I189" t="s">
        <v>1654</v>
      </c>
      <c r="J189" t="s">
        <v>1649</v>
      </c>
      <c r="K189" s="7">
        <v>32862</v>
      </c>
    </row>
    <row r="190" spans="1:11" x14ac:dyDescent="0.25">
      <c r="A190">
        <v>189</v>
      </c>
      <c r="B190" t="s">
        <v>2364</v>
      </c>
      <c r="C190" t="s">
        <v>83</v>
      </c>
      <c r="D190" t="s">
        <v>1602</v>
      </c>
      <c r="E190" s="7">
        <v>42751</v>
      </c>
      <c r="F190" t="s">
        <v>2365</v>
      </c>
      <c r="G190" t="s">
        <v>2366</v>
      </c>
      <c r="H190" t="s">
        <v>2367</v>
      </c>
      <c r="I190" t="s">
        <v>1645</v>
      </c>
      <c r="J190" t="s">
        <v>397</v>
      </c>
      <c r="K190" s="7">
        <v>25669</v>
      </c>
    </row>
    <row r="191" spans="1:11" x14ac:dyDescent="0.25">
      <c r="A191">
        <v>190</v>
      </c>
      <c r="B191" t="s">
        <v>2368</v>
      </c>
      <c r="C191" t="s">
        <v>75</v>
      </c>
      <c r="D191" t="s">
        <v>1606</v>
      </c>
      <c r="E191" s="7">
        <v>42734</v>
      </c>
      <c r="F191" t="s">
        <v>2369</v>
      </c>
      <c r="G191" t="s">
        <v>2370</v>
      </c>
      <c r="H191" t="s">
        <v>2371</v>
      </c>
      <c r="I191" t="s">
        <v>1639</v>
      </c>
      <c r="J191" t="s">
        <v>397</v>
      </c>
      <c r="K191" s="7">
        <v>36145</v>
      </c>
    </row>
    <row r="192" spans="1:11" x14ac:dyDescent="0.25">
      <c r="A192">
        <v>191</v>
      </c>
      <c r="B192" t="s">
        <v>2372</v>
      </c>
      <c r="C192" t="s">
        <v>75</v>
      </c>
      <c r="D192" t="s">
        <v>1614</v>
      </c>
      <c r="E192" s="7">
        <v>43532</v>
      </c>
      <c r="F192" t="s">
        <v>2373</v>
      </c>
      <c r="G192">
        <v>8898939146</v>
      </c>
      <c r="H192" t="s">
        <v>2374</v>
      </c>
      <c r="I192" t="s">
        <v>1639</v>
      </c>
      <c r="J192" t="s">
        <v>1663</v>
      </c>
      <c r="K192" s="7">
        <v>34336</v>
      </c>
    </row>
    <row r="193" spans="1:11" x14ac:dyDescent="0.25">
      <c r="A193">
        <v>192</v>
      </c>
      <c r="B193" t="s">
        <v>2375</v>
      </c>
      <c r="C193" t="s">
        <v>83</v>
      </c>
      <c r="D193" t="s">
        <v>1610</v>
      </c>
      <c r="E193" s="7">
        <v>41483</v>
      </c>
      <c r="F193" t="s">
        <v>2376</v>
      </c>
      <c r="G193" t="s">
        <v>2377</v>
      </c>
      <c r="H193" t="s">
        <v>2378</v>
      </c>
      <c r="I193" t="s">
        <v>1634</v>
      </c>
      <c r="J193" t="s">
        <v>1649</v>
      </c>
      <c r="K193" s="7">
        <v>28239</v>
      </c>
    </row>
    <row r="194" spans="1:11" x14ac:dyDescent="0.25">
      <c r="A194">
        <v>193</v>
      </c>
      <c r="B194" t="s">
        <v>2379</v>
      </c>
      <c r="C194" t="s">
        <v>83</v>
      </c>
      <c r="D194" t="s">
        <v>1610</v>
      </c>
      <c r="E194" s="7">
        <v>41888</v>
      </c>
      <c r="F194" t="s">
        <v>2380</v>
      </c>
      <c r="G194" t="s">
        <v>2381</v>
      </c>
      <c r="H194" t="s">
        <v>2382</v>
      </c>
      <c r="I194" t="s">
        <v>1654</v>
      </c>
      <c r="J194" t="s">
        <v>467</v>
      </c>
      <c r="K194" s="7">
        <v>36163</v>
      </c>
    </row>
    <row r="195" spans="1:11" x14ac:dyDescent="0.25">
      <c r="A195">
        <v>194</v>
      </c>
      <c r="B195" t="s">
        <v>2383</v>
      </c>
      <c r="C195" t="s">
        <v>83</v>
      </c>
      <c r="D195" t="s">
        <v>1614</v>
      </c>
      <c r="E195" s="7">
        <v>43110</v>
      </c>
      <c r="F195" t="s">
        <v>2384</v>
      </c>
      <c r="G195" t="s">
        <v>2385</v>
      </c>
      <c r="H195" t="s">
        <v>2386</v>
      </c>
      <c r="I195" t="s">
        <v>1654</v>
      </c>
      <c r="J195" t="s">
        <v>397</v>
      </c>
      <c r="K195" s="7">
        <v>24336</v>
      </c>
    </row>
    <row r="196" spans="1:11" x14ac:dyDescent="0.25">
      <c r="A196">
        <v>195</v>
      </c>
      <c r="B196" t="s">
        <v>2387</v>
      </c>
      <c r="C196" t="s">
        <v>75</v>
      </c>
      <c r="D196" t="s">
        <v>1608</v>
      </c>
      <c r="E196" s="7">
        <v>43897</v>
      </c>
      <c r="F196" t="s">
        <v>2388</v>
      </c>
      <c r="G196" t="s">
        <v>2389</v>
      </c>
      <c r="H196" t="s">
        <v>2390</v>
      </c>
      <c r="I196" t="s">
        <v>1639</v>
      </c>
      <c r="J196" t="s">
        <v>1649</v>
      </c>
      <c r="K196" s="7">
        <v>24153</v>
      </c>
    </row>
    <row r="197" spans="1:11" x14ac:dyDescent="0.25">
      <c r="A197">
        <v>196</v>
      </c>
      <c r="B197" t="s">
        <v>2391</v>
      </c>
      <c r="C197" t="s">
        <v>83</v>
      </c>
      <c r="D197" t="s">
        <v>1602</v>
      </c>
      <c r="E197" s="7">
        <v>44684</v>
      </c>
      <c r="F197" t="s">
        <v>2392</v>
      </c>
      <c r="G197" t="s">
        <v>2393</v>
      </c>
      <c r="H197" t="s">
        <v>2394</v>
      </c>
      <c r="I197" t="s">
        <v>1654</v>
      </c>
      <c r="J197" t="s">
        <v>467</v>
      </c>
      <c r="K197" s="7">
        <v>24338</v>
      </c>
    </row>
    <row r="198" spans="1:11" x14ac:dyDescent="0.25">
      <c r="A198">
        <v>197</v>
      </c>
      <c r="B198" t="s">
        <v>2395</v>
      </c>
      <c r="C198" t="s">
        <v>83</v>
      </c>
      <c r="D198" t="s">
        <v>1608</v>
      </c>
      <c r="E198" s="7">
        <v>43804</v>
      </c>
      <c r="F198" t="s">
        <v>2396</v>
      </c>
      <c r="G198" t="s">
        <v>2397</v>
      </c>
      <c r="H198" t="s">
        <v>2398</v>
      </c>
      <c r="I198" t="s">
        <v>1654</v>
      </c>
      <c r="J198" t="s">
        <v>1640</v>
      </c>
      <c r="K198" s="7">
        <v>25153</v>
      </c>
    </row>
    <row r="199" spans="1:11" x14ac:dyDescent="0.25">
      <c r="A199">
        <v>198</v>
      </c>
      <c r="B199" t="s">
        <v>2399</v>
      </c>
      <c r="C199" t="s">
        <v>83</v>
      </c>
      <c r="D199" t="s">
        <v>1602</v>
      </c>
      <c r="E199" s="7">
        <v>43351</v>
      </c>
      <c r="F199" t="s">
        <v>2400</v>
      </c>
      <c r="G199" t="s">
        <v>2401</v>
      </c>
      <c r="H199" t="s">
        <v>2402</v>
      </c>
      <c r="I199" t="s">
        <v>1645</v>
      </c>
      <c r="J199" t="s">
        <v>1663</v>
      </c>
      <c r="K199" s="7">
        <v>32622</v>
      </c>
    </row>
    <row r="200" spans="1:11" x14ac:dyDescent="0.25">
      <c r="A200">
        <v>199</v>
      </c>
      <c r="B200" t="s">
        <v>2403</v>
      </c>
      <c r="C200" t="s">
        <v>75</v>
      </c>
      <c r="D200" t="s">
        <v>1602</v>
      </c>
      <c r="E200" s="7">
        <v>45654</v>
      </c>
      <c r="F200" t="s">
        <v>2404</v>
      </c>
      <c r="G200" t="s">
        <v>2405</v>
      </c>
      <c r="H200" t="s">
        <v>2406</v>
      </c>
      <c r="I200" t="s">
        <v>1639</v>
      </c>
      <c r="J200" t="s">
        <v>467</v>
      </c>
      <c r="K200" s="7">
        <v>36749</v>
      </c>
    </row>
    <row r="201" spans="1:11" x14ac:dyDescent="0.25">
      <c r="A201">
        <v>200</v>
      </c>
      <c r="B201" t="s">
        <v>2407</v>
      </c>
      <c r="C201" t="s">
        <v>83</v>
      </c>
      <c r="D201" t="s">
        <v>1614</v>
      </c>
      <c r="E201" s="7">
        <v>45513</v>
      </c>
      <c r="F201" t="s">
        <v>2408</v>
      </c>
      <c r="G201" t="s">
        <v>2409</v>
      </c>
      <c r="H201" t="s">
        <v>2410</v>
      </c>
      <c r="I201" t="s">
        <v>1634</v>
      </c>
      <c r="J201" t="s">
        <v>1640</v>
      </c>
      <c r="K201" s="7">
        <v>33430</v>
      </c>
    </row>
    <row r="202" spans="1:11" x14ac:dyDescent="0.25">
      <c r="A202">
        <v>201</v>
      </c>
      <c r="B202" t="s">
        <v>2411</v>
      </c>
      <c r="C202" t="s">
        <v>75</v>
      </c>
      <c r="D202" t="s">
        <v>1612</v>
      </c>
      <c r="E202" s="7">
        <v>43468</v>
      </c>
      <c r="F202" t="s">
        <v>2412</v>
      </c>
      <c r="G202" t="s">
        <v>2413</v>
      </c>
      <c r="H202" t="s">
        <v>2414</v>
      </c>
      <c r="I202" t="s">
        <v>1634</v>
      </c>
      <c r="J202" t="s">
        <v>1640</v>
      </c>
      <c r="K202" s="7">
        <v>27914</v>
      </c>
    </row>
    <row r="203" spans="1:11" x14ac:dyDescent="0.25">
      <c r="A203">
        <v>202</v>
      </c>
      <c r="B203" t="s">
        <v>2415</v>
      </c>
      <c r="C203" t="s">
        <v>83</v>
      </c>
      <c r="D203" t="s">
        <v>1606</v>
      </c>
      <c r="E203" s="7">
        <v>39458</v>
      </c>
      <c r="F203" t="s">
        <v>2416</v>
      </c>
      <c r="G203" t="s">
        <v>2417</v>
      </c>
      <c r="H203" t="s">
        <v>2418</v>
      </c>
      <c r="I203" t="s">
        <v>1654</v>
      </c>
      <c r="J203" t="s">
        <v>467</v>
      </c>
      <c r="K203" s="7">
        <v>25885</v>
      </c>
    </row>
    <row r="204" spans="1:11" x14ac:dyDescent="0.25">
      <c r="A204">
        <v>203</v>
      </c>
      <c r="B204" t="s">
        <v>2419</v>
      </c>
      <c r="C204" t="s">
        <v>75</v>
      </c>
      <c r="D204" t="s">
        <v>1612</v>
      </c>
      <c r="E204" s="7">
        <v>39999</v>
      </c>
      <c r="F204" t="s">
        <v>2420</v>
      </c>
      <c r="G204" t="s">
        <v>2421</v>
      </c>
      <c r="H204" t="s">
        <v>2422</v>
      </c>
      <c r="I204" t="s">
        <v>1634</v>
      </c>
      <c r="J204" t="s">
        <v>1640</v>
      </c>
      <c r="K204" s="7">
        <v>30577</v>
      </c>
    </row>
    <row r="205" spans="1:11" x14ac:dyDescent="0.25">
      <c r="A205">
        <v>204</v>
      </c>
      <c r="B205" t="s">
        <v>2423</v>
      </c>
      <c r="C205" t="s">
        <v>83</v>
      </c>
      <c r="D205" t="s">
        <v>1610</v>
      </c>
      <c r="E205" s="7">
        <v>39555</v>
      </c>
      <c r="F205" t="s">
        <v>2424</v>
      </c>
      <c r="G205">
        <v>2072600773</v>
      </c>
      <c r="H205" t="s">
        <v>2425</v>
      </c>
      <c r="I205" t="s">
        <v>1639</v>
      </c>
      <c r="J205" t="s">
        <v>1640</v>
      </c>
      <c r="K205" s="7">
        <v>35197</v>
      </c>
    </row>
    <row r="206" spans="1:11" x14ac:dyDescent="0.25">
      <c r="A206">
        <v>205</v>
      </c>
      <c r="B206" t="s">
        <v>2426</v>
      </c>
      <c r="C206" t="s">
        <v>83</v>
      </c>
      <c r="D206" t="s">
        <v>1608</v>
      </c>
      <c r="E206" s="7">
        <v>43021</v>
      </c>
      <c r="F206" t="s">
        <v>2427</v>
      </c>
      <c r="G206" t="s">
        <v>2428</v>
      </c>
      <c r="H206" t="s">
        <v>2429</v>
      </c>
      <c r="I206" t="s">
        <v>1654</v>
      </c>
      <c r="J206" t="s">
        <v>1663</v>
      </c>
      <c r="K206" s="7">
        <v>34956</v>
      </c>
    </row>
    <row r="207" spans="1:11" x14ac:dyDescent="0.25">
      <c r="A207">
        <v>206</v>
      </c>
      <c r="B207" t="s">
        <v>2430</v>
      </c>
      <c r="C207" t="s">
        <v>75</v>
      </c>
      <c r="D207" t="s">
        <v>1606</v>
      </c>
      <c r="E207" s="7">
        <v>45436</v>
      </c>
      <c r="F207" t="s">
        <v>2431</v>
      </c>
      <c r="G207" t="s">
        <v>2432</v>
      </c>
      <c r="H207" t="s">
        <v>2433</v>
      </c>
      <c r="I207" t="s">
        <v>1634</v>
      </c>
      <c r="J207" t="s">
        <v>467</v>
      </c>
      <c r="K207" s="7">
        <v>25900</v>
      </c>
    </row>
    <row r="208" spans="1:11" x14ac:dyDescent="0.25">
      <c r="A208">
        <v>207</v>
      </c>
      <c r="B208" t="s">
        <v>2434</v>
      </c>
      <c r="C208" t="s">
        <v>83</v>
      </c>
      <c r="D208" t="s">
        <v>1606</v>
      </c>
      <c r="E208" s="7">
        <v>45417</v>
      </c>
      <c r="F208" t="s">
        <v>2435</v>
      </c>
      <c r="G208" t="s">
        <v>2436</v>
      </c>
      <c r="H208" t="s">
        <v>2437</v>
      </c>
      <c r="I208" t="s">
        <v>1634</v>
      </c>
      <c r="J208" t="s">
        <v>1663</v>
      </c>
      <c r="K208" s="7">
        <v>28089</v>
      </c>
    </row>
    <row r="209" spans="1:11" x14ac:dyDescent="0.25">
      <c r="A209">
        <v>208</v>
      </c>
      <c r="B209" t="s">
        <v>2438</v>
      </c>
      <c r="C209" t="s">
        <v>83</v>
      </c>
      <c r="D209" t="s">
        <v>1608</v>
      </c>
      <c r="E209" s="7">
        <v>43429</v>
      </c>
      <c r="F209" t="s">
        <v>2439</v>
      </c>
      <c r="G209" t="s">
        <v>2440</v>
      </c>
      <c r="H209" t="s">
        <v>2441</v>
      </c>
      <c r="I209" t="s">
        <v>1738</v>
      </c>
      <c r="J209" t="s">
        <v>1663</v>
      </c>
      <c r="K209" s="7">
        <v>29928</v>
      </c>
    </row>
    <row r="210" spans="1:11" x14ac:dyDescent="0.25">
      <c r="A210">
        <v>209</v>
      </c>
      <c r="B210" t="s">
        <v>2442</v>
      </c>
      <c r="C210" t="s">
        <v>75</v>
      </c>
      <c r="D210" t="s">
        <v>1600</v>
      </c>
      <c r="E210" s="7">
        <v>42388</v>
      </c>
      <c r="F210" t="s">
        <v>2443</v>
      </c>
      <c r="G210" t="s">
        <v>2444</v>
      </c>
      <c r="H210" t="s">
        <v>2445</v>
      </c>
      <c r="I210" t="s">
        <v>1639</v>
      </c>
      <c r="J210" t="s">
        <v>397</v>
      </c>
      <c r="K210" s="7">
        <v>28763</v>
      </c>
    </row>
    <row r="211" spans="1:11" x14ac:dyDescent="0.25">
      <c r="A211">
        <v>210</v>
      </c>
      <c r="B211" t="s">
        <v>2446</v>
      </c>
      <c r="C211" t="s">
        <v>83</v>
      </c>
      <c r="D211" t="s">
        <v>1598</v>
      </c>
      <c r="E211" s="7">
        <v>42188</v>
      </c>
      <c r="F211" t="s">
        <v>2447</v>
      </c>
      <c r="G211" t="s">
        <v>2448</v>
      </c>
      <c r="H211" t="s">
        <v>2449</v>
      </c>
      <c r="I211" t="s">
        <v>1639</v>
      </c>
      <c r="J211" t="s">
        <v>1640</v>
      </c>
      <c r="K211" s="7">
        <v>24291</v>
      </c>
    </row>
    <row r="212" spans="1:11" x14ac:dyDescent="0.25">
      <c r="A212">
        <v>211</v>
      </c>
      <c r="B212" t="s">
        <v>2450</v>
      </c>
      <c r="C212" t="s">
        <v>83</v>
      </c>
      <c r="D212" t="s">
        <v>1596</v>
      </c>
      <c r="E212" s="7">
        <v>40056</v>
      </c>
      <c r="F212" t="s">
        <v>2451</v>
      </c>
      <c r="G212" t="s">
        <v>2452</v>
      </c>
      <c r="H212" t="s">
        <v>2453</v>
      </c>
      <c r="I212" t="s">
        <v>1738</v>
      </c>
      <c r="J212" t="s">
        <v>1640</v>
      </c>
      <c r="K212" s="7">
        <v>28436</v>
      </c>
    </row>
    <row r="213" spans="1:11" x14ac:dyDescent="0.25">
      <c r="A213">
        <v>212</v>
      </c>
      <c r="B213" t="s">
        <v>2454</v>
      </c>
      <c r="C213" t="s">
        <v>75</v>
      </c>
      <c r="D213" t="s">
        <v>1610</v>
      </c>
      <c r="E213" s="7">
        <v>39575</v>
      </c>
      <c r="F213" t="s">
        <v>2455</v>
      </c>
      <c r="G213" t="s">
        <v>2456</v>
      </c>
      <c r="H213" t="s">
        <v>2457</v>
      </c>
      <c r="I213" t="s">
        <v>1639</v>
      </c>
      <c r="J213" t="s">
        <v>1663</v>
      </c>
      <c r="K213" s="7">
        <v>32170</v>
      </c>
    </row>
    <row r="214" spans="1:11" x14ac:dyDescent="0.25">
      <c r="A214">
        <v>213</v>
      </c>
      <c r="B214" t="s">
        <v>2458</v>
      </c>
      <c r="C214" t="s">
        <v>83</v>
      </c>
      <c r="D214" t="s">
        <v>1602</v>
      </c>
      <c r="E214" s="7">
        <v>45133</v>
      </c>
      <c r="F214" t="s">
        <v>2459</v>
      </c>
      <c r="G214" t="s">
        <v>2460</v>
      </c>
      <c r="H214" t="s">
        <v>2461</v>
      </c>
      <c r="I214" t="s">
        <v>1654</v>
      </c>
      <c r="J214" t="s">
        <v>1649</v>
      </c>
      <c r="K214" s="7">
        <v>32320</v>
      </c>
    </row>
    <row r="215" spans="1:11" x14ac:dyDescent="0.25">
      <c r="A215">
        <v>214</v>
      </c>
      <c r="B215" t="s">
        <v>2462</v>
      </c>
      <c r="C215" t="s">
        <v>83</v>
      </c>
      <c r="D215" t="s">
        <v>1606</v>
      </c>
      <c r="E215" s="7">
        <v>45470</v>
      </c>
      <c r="F215" t="s">
        <v>2463</v>
      </c>
      <c r="G215" t="s">
        <v>2464</v>
      </c>
      <c r="H215" t="s">
        <v>2465</v>
      </c>
      <c r="I215" t="s">
        <v>1639</v>
      </c>
      <c r="J215" t="s">
        <v>1649</v>
      </c>
      <c r="K215" s="7">
        <v>33665</v>
      </c>
    </row>
    <row r="216" spans="1:11" x14ac:dyDescent="0.25">
      <c r="A216">
        <v>215</v>
      </c>
      <c r="B216" t="s">
        <v>2466</v>
      </c>
      <c r="C216" t="s">
        <v>75</v>
      </c>
      <c r="D216" t="s">
        <v>1612</v>
      </c>
      <c r="E216" s="7">
        <v>44330</v>
      </c>
      <c r="F216" t="s">
        <v>2467</v>
      </c>
      <c r="G216" t="s">
        <v>2468</v>
      </c>
      <c r="H216" t="s">
        <v>2469</v>
      </c>
      <c r="I216" t="s">
        <v>1738</v>
      </c>
      <c r="J216" t="s">
        <v>1649</v>
      </c>
      <c r="K216" s="7">
        <v>29995</v>
      </c>
    </row>
    <row r="217" spans="1:11" x14ac:dyDescent="0.25">
      <c r="A217">
        <v>216</v>
      </c>
      <c r="B217" t="s">
        <v>2470</v>
      </c>
      <c r="C217" t="s">
        <v>75</v>
      </c>
      <c r="D217" t="s">
        <v>1612</v>
      </c>
      <c r="E217" s="7">
        <v>45630</v>
      </c>
      <c r="F217" t="s">
        <v>2471</v>
      </c>
      <c r="G217" t="s">
        <v>2472</v>
      </c>
      <c r="H217" t="s">
        <v>2473</v>
      </c>
      <c r="I217" t="s">
        <v>1634</v>
      </c>
      <c r="J217" t="s">
        <v>397</v>
      </c>
      <c r="K217" s="7">
        <v>24507</v>
      </c>
    </row>
    <row r="218" spans="1:11" x14ac:dyDescent="0.25">
      <c r="A218">
        <v>217</v>
      </c>
      <c r="B218" t="s">
        <v>2474</v>
      </c>
      <c r="C218" t="s">
        <v>75</v>
      </c>
      <c r="D218" t="s">
        <v>1602</v>
      </c>
      <c r="E218" s="7">
        <v>42891</v>
      </c>
      <c r="F218" t="s">
        <v>2475</v>
      </c>
      <c r="G218" t="s">
        <v>2476</v>
      </c>
      <c r="H218" t="s">
        <v>2477</v>
      </c>
      <c r="I218" t="s">
        <v>1634</v>
      </c>
      <c r="J218" t="s">
        <v>1640</v>
      </c>
      <c r="K218" s="7">
        <v>30807</v>
      </c>
    </row>
    <row r="219" spans="1:11" x14ac:dyDescent="0.25">
      <c r="A219">
        <v>218</v>
      </c>
      <c r="B219" t="s">
        <v>2478</v>
      </c>
      <c r="C219" t="s">
        <v>75</v>
      </c>
      <c r="D219" t="s">
        <v>1604</v>
      </c>
      <c r="E219" s="7">
        <v>42494</v>
      </c>
      <c r="F219" t="s">
        <v>2479</v>
      </c>
      <c r="G219" t="s">
        <v>2480</v>
      </c>
      <c r="H219" t="s">
        <v>2481</v>
      </c>
      <c r="I219" t="s">
        <v>1639</v>
      </c>
      <c r="J219" t="s">
        <v>467</v>
      </c>
      <c r="K219" s="7">
        <v>26974</v>
      </c>
    </row>
    <row r="220" spans="1:11" x14ac:dyDescent="0.25">
      <c r="A220">
        <v>219</v>
      </c>
      <c r="B220" t="s">
        <v>2482</v>
      </c>
      <c r="C220" t="s">
        <v>83</v>
      </c>
      <c r="D220" t="s">
        <v>1608</v>
      </c>
      <c r="E220" s="7">
        <v>44218</v>
      </c>
      <c r="F220" t="s">
        <v>2483</v>
      </c>
      <c r="G220" t="s">
        <v>2484</v>
      </c>
      <c r="H220" t="s">
        <v>2485</v>
      </c>
      <c r="I220" t="s">
        <v>1645</v>
      </c>
      <c r="J220" t="s">
        <v>397</v>
      </c>
      <c r="K220" s="7">
        <v>35212</v>
      </c>
    </row>
    <row r="221" spans="1:11" x14ac:dyDescent="0.25">
      <c r="A221">
        <v>220</v>
      </c>
      <c r="B221" t="s">
        <v>2486</v>
      </c>
      <c r="C221" t="s">
        <v>75</v>
      </c>
      <c r="D221" t="s">
        <v>1602</v>
      </c>
      <c r="E221" s="7">
        <v>38534</v>
      </c>
      <c r="F221" t="s">
        <v>2487</v>
      </c>
      <c r="G221" t="s">
        <v>2488</v>
      </c>
      <c r="H221" t="s">
        <v>2489</v>
      </c>
      <c r="I221" t="s">
        <v>1634</v>
      </c>
      <c r="J221" t="s">
        <v>397</v>
      </c>
      <c r="K221" s="7">
        <v>24022</v>
      </c>
    </row>
    <row r="222" spans="1:11" x14ac:dyDescent="0.25">
      <c r="A222">
        <v>221</v>
      </c>
      <c r="B222" t="s">
        <v>2490</v>
      </c>
      <c r="C222" t="s">
        <v>83</v>
      </c>
      <c r="D222" t="s">
        <v>1602</v>
      </c>
      <c r="E222" s="7">
        <v>43468</v>
      </c>
      <c r="F222" t="s">
        <v>2491</v>
      </c>
      <c r="G222" t="s">
        <v>2492</v>
      </c>
      <c r="H222" t="s">
        <v>2493</v>
      </c>
      <c r="I222" t="s">
        <v>1738</v>
      </c>
      <c r="J222" t="s">
        <v>467</v>
      </c>
      <c r="K222" s="7">
        <v>36996</v>
      </c>
    </row>
    <row r="223" spans="1:11" x14ac:dyDescent="0.25">
      <c r="A223">
        <v>222</v>
      </c>
      <c r="B223" t="s">
        <v>2494</v>
      </c>
      <c r="C223" t="s">
        <v>83</v>
      </c>
      <c r="D223" t="s">
        <v>1596</v>
      </c>
      <c r="E223" s="7">
        <v>41089</v>
      </c>
      <c r="F223" t="s">
        <v>2495</v>
      </c>
      <c r="G223" t="s">
        <v>2496</v>
      </c>
      <c r="H223" t="s">
        <v>2497</v>
      </c>
      <c r="I223" t="s">
        <v>1645</v>
      </c>
      <c r="J223" t="s">
        <v>1663</v>
      </c>
      <c r="K223" s="7">
        <v>31113</v>
      </c>
    </row>
    <row r="224" spans="1:11" x14ac:dyDescent="0.25">
      <c r="A224">
        <v>223</v>
      </c>
      <c r="B224" t="s">
        <v>2498</v>
      </c>
      <c r="C224" t="s">
        <v>83</v>
      </c>
      <c r="D224" t="s">
        <v>1614</v>
      </c>
      <c r="E224" s="7">
        <v>42371</v>
      </c>
      <c r="F224" t="s">
        <v>2499</v>
      </c>
      <c r="G224" t="s">
        <v>2500</v>
      </c>
      <c r="H224" t="s">
        <v>2501</v>
      </c>
      <c r="I224" t="s">
        <v>1639</v>
      </c>
      <c r="J224" t="s">
        <v>1649</v>
      </c>
      <c r="K224" s="7">
        <v>33719</v>
      </c>
    </row>
    <row r="225" spans="1:11" x14ac:dyDescent="0.25">
      <c r="A225">
        <v>224</v>
      </c>
      <c r="B225" t="s">
        <v>2502</v>
      </c>
      <c r="C225" t="s">
        <v>75</v>
      </c>
      <c r="D225" t="s">
        <v>1614</v>
      </c>
      <c r="E225" s="7">
        <v>45605</v>
      </c>
      <c r="F225" t="s">
        <v>2503</v>
      </c>
      <c r="G225" t="s">
        <v>2504</v>
      </c>
      <c r="H225" t="s">
        <v>2505</v>
      </c>
      <c r="I225" t="s">
        <v>1639</v>
      </c>
      <c r="J225" t="s">
        <v>1640</v>
      </c>
      <c r="K225" s="7">
        <v>36316</v>
      </c>
    </row>
    <row r="226" spans="1:11" x14ac:dyDescent="0.25">
      <c r="A226">
        <v>225</v>
      </c>
      <c r="B226" t="s">
        <v>2506</v>
      </c>
      <c r="C226" t="s">
        <v>83</v>
      </c>
      <c r="D226" t="s">
        <v>1600</v>
      </c>
      <c r="E226" s="7">
        <v>41782</v>
      </c>
      <c r="F226" t="s">
        <v>2507</v>
      </c>
      <c r="G226" t="s">
        <v>2508</v>
      </c>
      <c r="H226" t="s">
        <v>2509</v>
      </c>
      <c r="I226" t="s">
        <v>1645</v>
      </c>
      <c r="J226" t="s">
        <v>397</v>
      </c>
      <c r="K226" s="7">
        <v>28023</v>
      </c>
    </row>
    <row r="227" spans="1:11" x14ac:dyDescent="0.25">
      <c r="A227">
        <v>226</v>
      </c>
      <c r="B227" t="s">
        <v>2510</v>
      </c>
      <c r="C227" t="s">
        <v>83</v>
      </c>
      <c r="D227" t="s">
        <v>1606</v>
      </c>
      <c r="E227" s="7">
        <v>38683</v>
      </c>
      <c r="F227" t="s">
        <v>2511</v>
      </c>
      <c r="G227" t="s">
        <v>2512</v>
      </c>
      <c r="H227" t="s">
        <v>2513</v>
      </c>
      <c r="I227" t="s">
        <v>1738</v>
      </c>
      <c r="J227" t="s">
        <v>1640</v>
      </c>
      <c r="K227" s="7">
        <v>23533</v>
      </c>
    </row>
    <row r="228" spans="1:11" x14ac:dyDescent="0.25">
      <c r="A228">
        <v>227</v>
      </c>
      <c r="B228" t="s">
        <v>2514</v>
      </c>
      <c r="C228" t="s">
        <v>83</v>
      </c>
      <c r="D228" t="s">
        <v>1604</v>
      </c>
      <c r="E228" s="7">
        <v>45027</v>
      </c>
      <c r="F228" t="s">
        <v>2515</v>
      </c>
      <c r="G228" t="s">
        <v>2516</v>
      </c>
      <c r="H228" t="s">
        <v>2517</v>
      </c>
      <c r="I228" t="s">
        <v>1654</v>
      </c>
      <c r="J228" t="s">
        <v>467</v>
      </c>
      <c r="K228" s="7">
        <v>29043</v>
      </c>
    </row>
    <row r="229" spans="1:11" x14ac:dyDescent="0.25">
      <c r="A229">
        <v>228</v>
      </c>
      <c r="B229" t="s">
        <v>2518</v>
      </c>
      <c r="C229" t="s">
        <v>75</v>
      </c>
      <c r="D229" t="s">
        <v>1602</v>
      </c>
      <c r="E229" s="7">
        <v>43077</v>
      </c>
      <c r="F229" t="s">
        <v>2519</v>
      </c>
      <c r="G229" t="s">
        <v>2520</v>
      </c>
      <c r="H229" t="s">
        <v>2521</v>
      </c>
      <c r="I229" t="s">
        <v>1654</v>
      </c>
      <c r="J229" t="s">
        <v>1649</v>
      </c>
      <c r="K229" s="7">
        <v>31626</v>
      </c>
    </row>
    <row r="230" spans="1:11" x14ac:dyDescent="0.25">
      <c r="A230">
        <v>229</v>
      </c>
      <c r="B230" t="s">
        <v>2522</v>
      </c>
      <c r="C230" t="s">
        <v>83</v>
      </c>
      <c r="D230" t="s">
        <v>1596</v>
      </c>
      <c r="E230" s="7">
        <v>44498</v>
      </c>
      <c r="F230" t="s">
        <v>2523</v>
      </c>
      <c r="G230" t="s">
        <v>2524</v>
      </c>
      <c r="H230" t="s">
        <v>2525</v>
      </c>
      <c r="I230" t="s">
        <v>1634</v>
      </c>
      <c r="J230" t="s">
        <v>1640</v>
      </c>
      <c r="K230" s="7">
        <v>27140</v>
      </c>
    </row>
    <row r="231" spans="1:11" x14ac:dyDescent="0.25">
      <c r="A231">
        <v>230</v>
      </c>
      <c r="B231" t="s">
        <v>2526</v>
      </c>
      <c r="C231" t="s">
        <v>83</v>
      </c>
      <c r="D231" t="s">
        <v>1598</v>
      </c>
      <c r="E231" s="7">
        <v>43810</v>
      </c>
      <c r="F231" t="s">
        <v>2527</v>
      </c>
      <c r="G231" t="s">
        <v>2528</v>
      </c>
      <c r="H231" t="s">
        <v>2529</v>
      </c>
      <c r="I231" t="s">
        <v>1654</v>
      </c>
      <c r="J231" t="s">
        <v>1640</v>
      </c>
      <c r="K231" s="7">
        <v>34810</v>
      </c>
    </row>
    <row r="232" spans="1:11" x14ac:dyDescent="0.25">
      <c r="A232">
        <v>231</v>
      </c>
      <c r="B232" t="s">
        <v>2530</v>
      </c>
      <c r="C232" t="s">
        <v>83</v>
      </c>
      <c r="D232" t="s">
        <v>1604</v>
      </c>
      <c r="E232" s="7">
        <v>44739</v>
      </c>
      <c r="F232" t="s">
        <v>2531</v>
      </c>
      <c r="G232" t="s">
        <v>2532</v>
      </c>
      <c r="H232" t="s">
        <v>2533</v>
      </c>
      <c r="I232" t="s">
        <v>1634</v>
      </c>
      <c r="J232" t="s">
        <v>1649</v>
      </c>
      <c r="K232" s="7">
        <v>26985</v>
      </c>
    </row>
    <row r="233" spans="1:11" x14ac:dyDescent="0.25">
      <c r="A233">
        <v>232</v>
      </c>
      <c r="B233" t="s">
        <v>2534</v>
      </c>
      <c r="C233" t="s">
        <v>83</v>
      </c>
      <c r="D233" t="s">
        <v>1600</v>
      </c>
      <c r="E233" s="7">
        <v>44520</v>
      </c>
      <c r="F233" t="s">
        <v>2535</v>
      </c>
      <c r="G233" t="s">
        <v>2536</v>
      </c>
      <c r="H233" t="s">
        <v>2537</v>
      </c>
      <c r="I233" t="s">
        <v>1738</v>
      </c>
      <c r="J233" t="s">
        <v>1649</v>
      </c>
      <c r="K233" s="7">
        <v>30922</v>
      </c>
    </row>
    <row r="234" spans="1:11" x14ac:dyDescent="0.25">
      <c r="A234">
        <v>233</v>
      </c>
      <c r="B234" t="s">
        <v>2538</v>
      </c>
      <c r="C234" t="s">
        <v>75</v>
      </c>
      <c r="D234" t="s">
        <v>1598</v>
      </c>
      <c r="E234" s="7">
        <v>43226</v>
      </c>
      <c r="F234" t="s">
        <v>2539</v>
      </c>
      <c r="G234" t="s">
        <v>2540</v>
      </c>
      <c r="H234" t="s">
        <v>2541</v>
      </c>
      <c r="I234" t="s">
        <v>1634</v>
      </c>
      <c r="J234" t="s">
        <v>1640</v>
      </c>
      <c r="K234" s="7">
        <v>37311</v>
      </c>
    </row>
    <row r="235" spans="1:11" x14ac:dyDescent="0.25">
      <c r="A235">
        <v>234</v>
      </c>
      <c r="B235" t="s">
        <v>2542</v>
      </c>
      <c r="C235" t="s">
        <v>75</v>
      </c>
      <c r="D235" t="s">
        <v>1614</v>
      </c>
      <c r="E235" s="7">
        <v>38777</v>
      </c>
      <c r="F235" t="s">
        <v>2543</v>
      </c>
      <c r="G235" t="s">
        <v>2544</v>
      </c>
      <c r="H235" t="s">
        <v>2545</v>
      </c>
      <c r="I235" t="s">
        <v>1645</v>
      </c>
      <c r="J235" t="s">
        <v>397</v>
      </c>
      <c r="K235" s="7">
        <v>28032</v>
      </c>
    </row>
    <row r="236" spans="1:11" x14ac:dyDescent="0.25">
      <c r="A236">
        <v>235</v>
      </c>
      <c r="B236" t="s">
        <v>2546</v>
      </c>
      <c r="C236" t="s">
        <v>83</v>
      </c>
      <c r="D236" t="s">
        <v>1598</v>
      </c>
      <c r="E236" s="7">
        <v>38765</v>
      </c>
      <c r="F236" t="s">
        <v>2547</v>
      </c>
      <c r="G236" t="s">
        <v>2548</v>
      </c>
      <c r="H236" t="s">
        <v>2549</v>
      </c>
      <c r="I236" t="s">
        <v>1639</v>
      </c>
      <c r="J236" t="s">
        <v>397</v>
      </c>
      <c r="K236" s="7">
        <v>31088</v>
      </c>
    </row>
    <row r="237" spans="1:11" x14ac:dyDescent="0.25">
      <c r="A237">
        <v>236</v>
      </c>
      <c r="B237" t="s">
        <v>2550</v>
      </c>
      <c r="C237" t="s">
        <v>75</v>
      </c>
      <c r="D237" t="s">
        <v>1606</v>
      </c>
      <c r="E237" s="7">
        <v>40935</v>
      </c>
      <c r="F237" t="s">
        <v>2551</v>
      </c>
      <c r="G237">
        <f>1-300-149-968</f>
        <v>-1416</v>
      </c>
      <c r="H237" t="s">
        <v>2552</v>
      </c>
      <c r="I237" t="s">
        <v>1738</v>
      </c>
      <c r="J237" t="s">
        <v>1663</v>
      </c>
      <c r="K237" s="7">
        <v>31356</v>
      </c>
    </row>
    <row r="238" spans="1:11" x14ac:dyDescent="0.25">
      <c r="A238">
        <v>237</v>
      </c>
      <c r="B238" t="s">
        <v>2553</v>
      </c>
      <c r="C238" t="s">
        <v>83</v>
      </c>
      <c r="D238" t="s">
        <v>1600</v>
      </c>
      <c r="E238" s="7">
        <v>45283</v>
      </c>
      <c r="F238" t="s">
        <v>2554</v>
      </c>
      <c r="G238" t="s">
        <v>2555</v>
      </c>
      <c r="H238" t="s">
        <v>2556</v>
      </c>
      <c r="I238" t="s">
        <v>1738</v>
      </c>
      <c r="J238" t="s">
        <v>1663</v>
      </c>
      <c r="K238" s="7">
        <v>35774</v>
      </c>
    </row>
    <row r="239" spans="1:11" x14ac:dyDescent="0.25">
      <c r="A239">
        <v>238</v>
      </c>
      <c r="B239" t="s">
        <v>2557</v>
      </c>
      <c r="C239" t="s">
        <v>83</v>
      </c>
      <c r="D239" t="s">
        <v>1608</v>
      </c>
      <c r="E239" s="7">
        <v>40362</v>
      </c>
      <c r="F239" t="s">
        <v>2558</v>
      </c>
      <c r="G239" t="s">
        <v>2559</v>
      </c>
      <c r="H239" t="s">
        <v>2560</v>
      </c>
      <c r="I239" t="s">
        <v>1634</v>
      </c>
      <c r="J239" t="s">
        <v>397</v>
      </c>
      <c r="K239" s="7">
        <v>24968</v>
      </c>
    </row>
    <row r="240" spans="1:11" x14ac:dyDescent="0.25">
      <c r="A240">
        <v>239</v>
      </c>
      <c r="B240" t="s">
        <v>2561</v>
      </c>
      <c r="C240" t="s">
        <v>83</v>
      </c>
      <c r="D240" t="s">
        <v>1608</v>
      </c>
      <c r="E240" s="7">
        <v>43348</v>
      </c>
      <c r="F240" t="s">
        <v>2562</v>
      </c>
      <c r="G240" t="s">
        <v>2563</v>
      </c>
      <c r="H240" t="s">
        <v>2564</v>
      </c>
      <c r="I240" t="s">
        <v>1634</v>
      </c>
      <c r="J240" t="s">
        <v>1640</v>
      </c>
      <c r="K240" s="7">
        <v>25104</v>
      </c>
    </row>
    <row r="241" spans="1:11" x14ac:dyDescent="0.25">
      <c r="A241">
        <v>240</v>
      </c>
      <c r="B241" t="s">
        <v>2565</v>
      </c>
      <c r="C241" t="s">
        <v>83</v>
      </c>
      <c r="D241" t="s">
        <v>1610</v>
      </c>
      <c r="E241" s="7">
        <v>41093</v>
      </c>
      <c r="F241" t="s">
        <v>2566</v>
      </c>
      <c r="G241" t="s">
        <v>2567</v>
      </c>
      <c r="H241" t="s">
        <v>2568</v>
      </c>
      <c r="I241" t="s">
        <v>1738</v>
      </c>
      <c r="J241" t="s">
        <v>467</v>
      </c>
      <c r="K241" s="7">
        <v>28698</v>
      </c>
    </row>
    <row r="242" spans="1:11" x14ac:dyDescent="0.25">
      <c r="A242">
        <v>241</v>
      </c>
      <c r="B242" t="s">
        <v>2569</v>
      </c>
      <c r="C242" t="s">
        <v>75</v>
      </c>
      <c r="D242" t="s">
        <v>1598</v>
      </c>
      <c r="E242" s="7">
        <v>44036</v>
      </c>
      <c r="F242" t="s">
        <v>2570</v>
      </c>
      <c r="G242" t="s">
        <v>2571</v>
      </c>
      <c r="H242" t="s">
        <v>2572</v>
      </c>
      <c r="I242" t="s">
        <v>1654</v>
      </c>
      <c r="J242" t="s">
        <v>1640</v>
      </c>
      <c r="K242" s="7">
        <v>28470</v>
      </c>
    </row>
    <row r="243" spans="1:11" x14ac:dyDescent="0.25">
      <c r="A243">
        <v>242</v>
      </c>
      <c r="B243" t="s">
        <v>2573</v>
      </c>
      <c r="C243" t="s">
        <v>75</v>
      </c>
      <c r="D243" t="s">
        <v>1602</v>
      </c>
      <c r="E243" s="7">
        <v>39693</v>
      </c>
      <c r="F243" t="s">
        <v>2574</v>
      </c>
      <c r="G243" t="s">
        <v>2575</v>
      </c>
      <c r="H243" t="s">
        <v>2576</v>
      </c>
      <c r="I243" t="s">
        <v>1639</v>
      </c>
      <c r="J243" t="s">
        <v>1663</v>
      </c>
      <c r="K243" s="7">
        <v>23737</v>
      </c>
    </row>
    <row r="244" spans="1:11" x14ac:dyDescent="0.25">
      <c r="A244">
        <v>243</v>
      </c>
      <c r="B244" t="s">
        <v>2577</v>
      </c>
      <c r="C244" t="s">
        <v>83</v>
      </c>
      <c r="D244" t="s">
        <v>1606</v>
      </c>
      <c r="E244" s="7">
        <v>42836</v>
      </c>
      <c r="F244" t="s">
        <v>2578</v>
      </c>
      <c r="G244" t="s">
        <v>2579</v>
      </c>
      <c r="H244" t="s">
        <v>2580</v>
      </c>
      <c r="I244" t="s">
        <v>1639</v>
      </c>
      <c r="J244" t="s">
        <v>1663</v>
      </c>
      <c r="K244" s="7">
        <v>28560</v>
      </c>
    </row>
    <row r="245" spans="1:11" x14ac:dyDescent="0.25">
      <c r="A245">
        <v>244</v>
      </c>
      <c r="B245" t="s">
        <v>2581</v>
      </c>
      <c r="C245" t="s">
        <v>75</v>
      </c>
      <c r="D245" t="s">
        <v>1598</v>
      </c>
      <c r="E245" s="7">
        <v>38596</v>
      </c>
      <c r="F245" t="s">
        <v>2582</v>
      </c>
      <c r="G245" t="s">
        <v>2583</v>
      </c>
      <c r="H245" t="s">
        <v>2584</v>
      </c>
      <c r="I245" t="s">
        <v>1654</v>
      </c>
      <c r="J245" t="s">
        <v>1640</v>
      </c>
      <c r="K245" s="7">
        <v>34620</v>
      </c>
    </row>
    <row r="246" spans="1:11" x14ac:dyDescent="0.25">
      <c r="A246">
        <v>245</v>
      </c>
      <c r="B246" t="s">
        <v>2585</v>
      </c>
      <c r="C246" t="s">
        <v>75</v>
      </c>
      <c r="D246" t="s">
        <v>1612</v>
      </c>
      <c r="E246" s="7">
        <v>42877</v>
      </c>
      <c r="F246" t="s">
        <v>2586</v>
      </c>
      <c r="G246" t="s">
        <v>2587</v>
      </c>
      <c r="H246" t="s">
        <v>2588</v>
      </c>
      <c r="I246" t="s">
        <v>1645</v>
      </c>
      <c r="J246" t="s">
        <v>467</v>
      </c>
      <c r="K246" s="7">
        <v>35565</v>
      </c>
    </row>
    <row r="247" spans="1:11" x14ac:dyDescent="0.25">
      <c r="A247">
        <v>246</v>
      </c>
      <c r="B247" t="s">
        <v>2589</v>
      </c>
      <c r="C247" t="s">
        <v>83</v>
      </c>
      <c r="D247" t="s">
        <v>1608</v>
      </c>
      <c r="E247" s="7">
        <v>42538</v>
      </c>
      <c r="F247" t="s">
        <v>2590</v>
      </c>
      <c r="G247" t="s">
        <v>2591</v>
      </c>
      <c r="H247" t="s">
        <v>2592</v>
      </c>
      <c r="I247" t="s">
        <v>1634</v>
      </c>
      <c r="J247" t="s">
        <v>467</v>
      </c>
      <c r="K247" s="7">
        <v>33832</v>
      </c>
    </row>
    <row r="248" spans="1:11" x14ac:dyDescent="0.25">
      <c r="A248">
        <v>247</v>
      </c>
      <c r="B248" t="s">
        <v>2593</v>
      </c>
      <c r="C248" t="s">
        <v>75</v>
      </c>
      <c r="D248" t="s">
        <v>1606</v>
      </c>
      <c r="E248" s="7">
        <v>42633</v>
      </c>
      <c r="F248" t="s">
        <v>2594</v>
      </c>
      <c r="G248" t="s">
        <v>2595</v>
      </c>
      <c r="H248" t="s">
        <v>2596</v>
      </c>
      <c r="I248" t="s">
        <v>1738</v>
      </c>
      <c r="J248" t="s">
        <v>1663</v>
      </c>
      <c r="K248" s="7">
        <v>32972</v>
      </c>
    </row>
    <row r="249" spans="1:11" x14ac:dyDescent="0.25">
      <c r="A249">
        <v>248</v>
      </c>
      <c r="B249" t="s">
        <v>2597</v>
      </c>
      <c r="C249" t="s">
        <v>83</v>
      </c>
      <c r="D249" t="s">
        <v>1600</v>
      </c>
      <c r="E249" s="7">
        <v>44989</v>
      </c>
      <c r="F249" t="s">
        <v>2598</v>
      </c>
      <c r="G249">
        <f>1-438-959-9174</f>
        <v>-10570</v>
      </c>
      <c r="H249" t="s">
        <v>2599</v>
      </c>
      <c r="I249" t="s">
        <v>1654</v>
      </c>
      <c r="J249" t="s">
        <v>397</v>
      </c>
      <c r="K249" s="7">
        <v>31760</v>
      </c>
    </row>
    <row r="250" spans="1:11" x14ac:dyDescent="0.25">
      <c r="A250">
        <v>249</v>
      </c>
      <c r="B250" t="s">
        <v>2600</v>
      </c>
      <c r="C250" t="s">
        <v>75</v>
      </c>
      <c r="D250" t="s">
        <v>1606</v>
      </c>
      <c r="E250" s="7">
        <v>39512</v>
      </c>
      <c r="F250" t="s">
        <v>2601</v>
      </c>
      <c r="G250">
        <v>7798525124</v>
      </c>
      <c r="H250" t="s">
        <v>2602</v>
      </c>
      <c r="I250" t="s">
        <v>1645</v>
      </c>
      <c r="J250" t="s">
        <v>467</v>
      </c>
      <c r="K250" s="7">
        <v>30582</v>
      </c>
    </row>
    <row r="251" spans="1:11" x14ac:dyDescent="0.25">
      <c r="A251">
        <v>250</v>
      </c>
      <c r="B251" t="s">
        <v>2603</v>
      </c>
      <c r="C251" t="s">
        <v>83</v>
      </c>
      <c r="D251" t="s">
        <v>1598</v>
      </c>
      <c r="E251" s="7">
        <v>38955</v>
      </c>
      <c r="F251" t="s">
        <v>2604</v>
      </c>
      <c r="G251">
        <v>3672565815</v>
      </c>
      <c r="H251" t="s">
        <v>2605</v>
      </c>
      <c r="I251" t="s">
        <v>1634</v>
      </c>
      <c r="J251" t="s">
        <v>397</v>
      </c>
      <c r="K251" s="7">
        <v>35339</v>
      </c>
    </row>
    <row r="252" spans="1:11" x14ac:dyDescent="0.25">
      <c r="A252">
        <v>251</v>
      </c>
      <c r="B252" t="s">
        <v>2606</v>
      </c>
      <c r="C252" t="s">
        <v>83</v>
      </c>
      <c r="D252" t="s">
        <v>1612</v>
      </c>
      <c r="E252" s="7">
        <v>42759</v>
      </c>
      <c r="F252" t="s">
        <v>2607</v>
      </c>
      <c r="G252" t="s">
        <v>2608</v>
      </c>
      <c r="H252" t="s">
        <v>2609</v>
      </c>
      <c r="I252" t="s">
        <v>1634</v>
      </c>
      <c r="J252" t="s">
        <v>467</v>
      </c>
      <c r="K252" s="7">
        <v>26929</v>
      </c>
    </row>
    <row r="253" spans="1:11" x14ac:dyDescent="0.25">
      <c r="A253">
        <v>252</v>
      </c>
      <c r="B253" t="s">
        <v>2610</v>
      </c>
      <c r="C253" t="s">
        <v>83</v>
      </c>
      <c r="D253" t="s">
        <v>1614</v>
      </c>
      <c r="E253" s="7">
        <v>42415</v>
      </c>
      <c r="F253" t="s">
        <v>2611</v>
      </c>
      <c r="G253" t="s">
        <v>2612</v>
      </c>
      <c r="H253" t="s">
        <v>2613</v>
      </c>
      <c r="I253" t="s">
        <v>1634</v>
      </c>
      <c r="J253" t="s">
        <v>1640</v>
      </c>
      <c r="K253" s="7">
        <v>34535</v>
      </c>
    </row>
    <row r="254" spans="1:11" x14ac:dyDescent="0.25">
      <c r="A254">
        <v>253</v>
      </c>
      <c r="B254" t="s">
        <v>2614</v>
      </c>
      <c r="C254" t="s">
        <v>83</v>
      </c>
      <c r="D254" t="s">
        <v>1606</v>
      </c>
      <c r="E254" s="7">
        <v>40444</v>
      </c>
      <c r="F254" t="s">
        <v>2615</v>
      </c>
      <c r="G254" t="s">
        <v>2616</v>
      </c>
      <c r="H254" t="s">
        <v>2617</v>
      </c>
      <c r="I254" t="s">
        <v>1654</v>
      </c>
      <c r="J254" t="s">
        <v>467</v>
      </c>
      <c r="K254" s="7">
        <v>25990</v>
      </c>
    </row>
    <row r="255" spans="1:11" x14ac:dyDescent="0.25">
      <c r="A255">
        <v>254</v>
      </c>
      <c r="B255" t="s">
        <v>2618</v>
      </c>
      <c r="C255" t="s">
        <v>83</v>
      </c>
      <c r="D255" t="s">
        <v>1604</v>
      </c>
      <c r="E255" s="7">
        <v>39920</v>
      </c>
      <c r="F255" t="s">
        <v>2619</v>
      </c>
      <c r="G255" t="s">
        <v>2620</v>
      </c>
      <c r="H255" t="s">
        <v>2621</v>
      </c>
      <c r="I255" t="s">
        <v>1654</v>
      </c>
      <c r="J255" t="s">
        <v>467</v>
      </c>
      <c r="K255" s="7">
        <v>36324</v>
      </c>
    </row>
    <row r="256" spans="1:11" x14ac:dyDescent="0.25">
      <c r="A256">
        <v>255</v>
      </c>
      <c r="B256" t="s">
        <v>2622</v>
      </c>
      <c r="C256" t="s">
        <v>83</v>
      </c>
      <c r="D256" t="s">
        <v>1598</v>
      </c>
      <c r="E256" s="7">
        <v>42334</v>
      </c>
      <c r="F256" t="s">
        <v>2623</v>
      </c>
      <c r="G256">
        <v>2872079045</v>
      </c>
      <c r="H256" t="s">
        <v>2624</v>
      </c>
      <c r="I256" t="s">
        <v>1639</v>
      </c>
      <c r="J256" t="s">
        <v>467</v>
      </c>
      <c r="K256" s="7">
        <v>30380</v>
      </c>
    </row>
    <row r="257" spans="1:11" x14ac:dyDescent="0.25">
      <c r="A257">
        <v>256</v>
      </c>
      <c r="B257" t="s">
        <v>2625</v>
      </c>
      <c r="C257" t="s">
        <v>75</v>
      </c>
      <c r="D257" t="s">
        <v>1598</v>
      </c>
      <c r="E257" s="7">
        <v>41853</v>
      </c>
      <c r="F257" t="s">
        <v>2626</v>
      </c>
      <c r="G257" t="s">
        <v>2627</v>
      </c>
      <c r="H257" t="s">
        <v>2628</v>
      </c>
      <c r="I257" t="s">
        <v>1639</v>
      </c>
      <c r="J257" t="s">
        <v>1663</v>
      </c>
      <c r="K257" s="7">
        <v>34980</v>
      </c>
    </row>
    <row r="258" spans="1:11" x14ac:dyDescent="0.25">
      <c r="A258">
        <v>257</v>
      </c>
      <c r="B258" t="s">
        <v>2629</v>
      </c>
      <c r="C258" t="s">
        <v>83</v>
      </c>
      <c r="D258" t="s">
        <v>1612</v>
      </c>
      <c r="E258" s="7">
        <v>40772</v>
      </c>
      <c r="F258" t="s">
        <v>2630</v>
      </c>
      <c r="G258" t="s">
        <v>2631</v>
      </c>
      <c r="H258" t="s">
        <v>2632</v>
      </c>
      <c r="I258" t="s">
        <v>1645</v>
      </c>
      <c r="J258" t="s">
        <v>1663</v>
      </c>
      <c r="K258" s="7">
        <v>27311</v>
      </c>
    </row>
    <row r="259" spans="1:11" x14ac:dyDescent="0.25">
      <c r="A259">
        <v>258</v>
      </c>
      <c r="B259" t="s">
        <v>2633</v>
      </c>
      <c r="C259" t="s">
        <v>75</v>
      </c>
      <c r="D259" t="s">
        <v>1614</v>
      </c>
      <c r="E259" s="7">
        <v>39148</v>
      </c>
      <c r="F259" t="s">
        <v>2634</v>
      </c>
      <c r="G259" t="s">
        <v>2635</v>
      </c>
      <c r="H259" t="s">
        <v>2636</v>
      </c>
      <c r="I259" t="s">
        <v>1634</v>
      </c>
      <c r="J259" t="s">
        <v>1663</v>
      </c>
      <c r="K259" s="7">
        <v>24598</v>
      </c>
    </row>
    <row r="260" spans="1:11" x14ac:dyDescent="0.25">
      <c r="A260">
        <v>259</v>
      </c>
      <c r="B260" t="s">
        <v>2637</v>
      </c>
      <c r="C260" t="s">
        <v>83</v>
      </c>
      <c r="D260" t="s">
        <v>1596</v>
      </c>
      <c r="E260" s="7">
        <v>45545</v>
      </c>
      <c r="F260" t="s">
        <v>2638</v>
      </c>
      <c r="G260" t="s">
        <v>2639</v>
      </c>
      <c r="H260" t="s">
        <v>2640</v>
      </c>
      <c r="I260" t="s">
        <v>1645</v>
      </c>
      <c r="J260" t="s">
        <v>467</v>
      </c>
      <c r="K260" s="7">
        <v>33537</v>
      </c>
    </row>
    <row r="261" spans="1:11" x14ac:dyDescent="0.25">
      <c r="A261">
        <v>260</v>
      </c>
      <c r="B261" t="s">
        <v>2641</v>
      </c>
      <c r="C261" t="s">
        <v>83</v>
      </c>
      <c r="D261" t="s">
        <v>1600</v>
      </c>
      <c r="E261" s="7">
        <v>43501</v>
      </c>
      <c r="F261" t="s">
        <v>2642</v>
      </c>
      <c r="G261" t="s">
        <v>2643</v>
      </c>
      <c r="H261" t="s">
        <v>2644</v>
      </c>
      <c r="I261" t="s">
        <v>1654</v>
      </c>
      <c r="J261" t="s">
        <v>1649</v>
      </c>
      <c r="K261" s="7">
        <v>28338</v>
      </c>
    </row>
    <row r="262" spans="1:11" x14ac:dyDescent="0.25">
      <c r="A262">
        <v>261</v>
      </c>
      <c r="B262" t="s">
        <v>2645</v>
      </c>
      <c r="C262" t="s">
        <v>83</v>
      </c>
      <c r="D262" t="s">
        <v>1600</v>
      </c>
      <c r="E262" s="7">
        <v>44028</v>
      </c>
      <c r="F262" t="s">
        <v>2646</v>
      </c>
      <c r="G262" t="s">
        <v>2647</v>
      </c>
      <c r="H262" t="s">
        <v>2648</v>
      </c>
      <c r="I262" t="s">
        <v>1654</v>
      </c>
      <c r="J262" t="s">
        <v>1663</v>
      </c>
      <c r="K262" s="7">
        <v>36668</v>
      </c>
    </row>
    <row r="263" spans="1:11" x14ac:dyDescent="0.25">
      <c r="A263">
        <v>262</v>
      </c>
      <c r="B263" t="s">
        <v>2649</v>
      </c>
      <c r="C263" t="s">
        <v>75</v>
      </c>
      <c r="D263" t="s">
        <v>1612</v>
      </c>
      <c r="E263" s="7">
        <v>43794</v>
      </c>
      <c r="F263" t="s">
        <v>2650</v>
      </c>
      <c r="G263" t="s">
        <v>2651</v>
      </c>
      <c r="H263" t="s">
        <v>2652</v>
      </c>
      <c r="I263" t="s">
        <v>1634</v>
      </c>
      <c r="J263" t="s">
        <v>467</v>
      </c>
      <c r="K263" s="7">
        <v>25448</v>
      </c>
    </row>
    <row r="264" spans="1:11" x14ac:dyDescent="0.25">
      <c r="A264">
        <v>263</v>
      </c>
      <c r="B264" t="s">
        <v>2653</v>
      </c>
      <c r="C264" t="s">
        <v>83</v>
      </c>
      <c r="D264" t="s">
        <v>1598</v>
      </c>
      <c r="E264" s="7">
        <v>43694</v>
      </c>
      <c r="F264" t="s">
        <v>2654</v>
      </c>
      <c r="G264" t="s">
        <v>2655</v>
      </c>
      <c r="H264" t="s">
        <v>2656</v>
      </c>
      <c r="I264" t="s">
        <v>1654</v>
      </c>
      <c r="J264" t="s">
        <v>467</v>
      </c>
      <c r="K264" s="7">
        <v>24457</v>
      </c>
    </row>
    <row r="265" spans="1:11" x14ac:dyDescent="0.25">
      <c r="A265">
        <v>264</v>
      </c>
      <c r="B265" t="s">
        <v>2657</v>
      </c>
      <c r="C265" t="s">
        <v>75</v>
      </c>
      <c r="D265" t="s">
        <v>1610</v>
      </c>
      <c r="E265" s="7">
        <v>44452</v>
      </c>
      <c r="F265" t="s">
        <v>2658</v>
      </c>
      <c r="G265" t="s">
        <v>2659</v>
      </c>
      <c r="H265" t="s">
        <v>2660</v>
      </c>
      <c r="I265" t="s">
        <v>1639</v>
      </c>
      <c r="J265" t="s">
        <v>467</v>
      </c>
      <c r="K265" s="7">
        <v>32922</v>
      </c>
    </row>
    <row r="266" spans="1:11" x14ac:dyDescent="0.25">
      <c r="A266">
        <v>265</v>
      </c>
      <c r="B266" t="s">
        <v>2661</v>
      </c>
      <c r="C266" t="s">
        <v>75</v>
      </c>
      <c r="D266" t="s">
        <v>1596</v>
      </c>
      <c r="E266" s="7">
        <v>42994</v>
      </c>
      <c r="F266" t="s">
        <v>2662</v>
      </c>
      <c r="G266" t="s">
        <v>2663</v>
      </c>
      <c r="H266" t="s">
        <v>2664</v>
      </c>
      <c r="I266" t="s">
        <v>1639</v>
      </c>
      <c r="J266" t="s">
        <v>1663</v>
      </c>
      <c r="K266" s="7">
        <v>29200</v>
      </c>
    </row>
    <row r="267" spans="1:11" x14ac:dyDescent="0.25">
      <c r="A267">
        <v>266</v>
      </c>
      <c r="B267" t="s">
        <v>2665</v>
      </c>
      <c r="C267" t="s">
        <v>83</v>
      </c>
      <c r="D267" t="s">
        <v>1608</v>
      </c>
      <c r="E267" s="7">
        <v>41373</v>
      </c>
      <c r="F267" t="s">
        <v>2666</v>
      </c>
      <c r="G267" t="s">
        <v>2667</v>
      </c>
      <c r="H267" t="s">
        <v>2668</v>
      </c>
      <c r="I267" t="s">
        <v>1654</v>
      </c>
      <c r="J267" t="s">
        <v>397</v>
      </c>
      <c r="K267" s="7">
        <v>37322</v>
      </c>
    </row>
    <row r="268" spans="1:11" x14ac:dyDescent="0.25">
      <c r="A268">
        <v>267</v>
      </c>
      <c r="B268" t="s">
        <v>2669</v>
      </c>
      <c r="C268" t="s">
        <v>75</v>
      </c>
      <c r="D268" t="s">
        <v>1600</v>
      </c>
      <c r="E268" s="7">
        <v>45586</v>
      </c>
      <c r="F268" t="s">
        <v>2670</v>
      </c>
      <c r="G268" t="s">
        <v>2671</v>
      </c>
      <c r="H268" t="s">
        <v>2672</v>
      </c>
      <c r="I268" t="s">
        <v>1634</v>
      </c>
      <c r="J268" t="s">
        <v>397</v>
      </c>
      <c r="K268" s="7">
        <v>34416</v>
      </c>
    </row>
    <row r="269" spans="1:11" x14ac:dyDescent="0.25">
      <c r="A269">
        <v>268</v>
      </c>
      <c r="B269" t="s">
        <v>2673</v>
      </c>
      <c r="C269" t="s">
        <v>75</v>
      </c>
      <c r="D269" t="s">
        <v>1606</v>
      </c>
      <c r="E269" s="7">
        <v>40516</v>
      </c>
      <c r="F269" t="s">
        <v>2674</v>
      </c>
      <c r="G269" t="s">
        <v>2675</v>
      </c>
      <c r="H269" t="s">
        <v>2676</v>
      </c>
      <c r="I269" t="s">
        <v>1645</v>
      </c>
      <c r="J269" t="s">
        <v>1640</v>
      </c>
      <c r="K269" s="7">
        <v>23864</v>
      </c>
    </row>
    <row r="270" spans="1:11" x14ac:dyDescent="0.25">
      <c r="A270">
        <v>269</v>
      </c>
      <c r="B270" t="s">
        <v>2677</v>
      </c>
      <c r="C270" t="s">
        <v>83</v>
      </c>
      <c r="D270" t="s">
        <v>1614</v>
      </c>
      <c r="E270" s="7">
        <v>42128</v>
      </c>
      <c r="F270" t="s">
        <v>2678</v>
      </c>
      <c r="G270" t="s">
        <v>2679</v>
      </c>
      <c r="H270" t="s">
        <v>2680</v>
      </c>
      <c r="I270" t="s">
        <v>1738</v>
      </c>
      <c r="J270" t="s">
        <v>1640</v>
      </c>
      <c r="K270" s="7">
        <v>34565</v>
      </c>
    </row>
    <row r="271" spans="1:11" x14ac:dyDescent="0.25">
      <c r="A271">
        <v>270</v>
      </c>
      <c r="B271" t="s">
        <v>2681</v>
      </c>
      <c r="C271" t="s">
        <v>83</v>
      </c>
      <c r="D271" t="s">
        <v>1614</v>
      </c>
      <c r="E271" s="7">
        <v>40984</v>
      </c>
      <c r="F271" t="s">
        <v>2682</v>
      </c>
      <c r="G271" t="s">
        <v>2683</v>
      </c>
      <c r="H271" t="s">
        <v>2684</v>
      </c>
      <c r="I271" t="s">
        <v>1654</v>
      </c>
      <c r="J271" t="s">
        <v>1663</v>
      </c>
      <c r="K271" s="7">
        <v>26354</v>
      </c>
    </row>
    <row r="272" spans="1:11" x14ac:dyDescent="0.25">
      <c r="A272">
        <v>271</v>
      </c>
      <c r="B272" t="s">
        <v>2685</v>
      </c>
      <c r="C272" t="s">
        <v>75</v>
      </c>
      <c r="D272" t="s">
        <v>1614</v>
      </c>
      <c r="E272" s="7">
        <v>39655</v>
      </c>
      <c r="F272" t="s">
        <v>2686</v>
      </c>
      <c r="G272" t="s">
        <v>2687</v>
      </c>
      <c r="H272" t="s">
        <v>2688</v>
      </c>
      <c r="I272" t="s">
        <v>1654</v>
      </c>
      <c r="J272" t="s">
        <v>1663</v>
      </c>
      <c r="K272" s="7">
        <v>34600</v>
      </c>
    </row>
    <row r="273" spans="1:11" x14ac:dyDescent="0.25">
      <c r="A273">
        <v>272</v>
      </c>
      <c r="B273" t="s">
        <v>2689</v>
      </c>
      <c r="C273" t="s">
        <v>75</v>
      </c>
      <c r="D273" t="s">
        <v>1604</v>
      </c>
      <c r="E273" s="7">
        <v>44702</v>
      </c>
      <c r="F273" t="s">
        <v>2690</v>
      </c>
      <c r="G273" t="s">
        <v>2691</v>
      </c>
      <c r="H273" t="s">
        <v>2692</v>
      </c>
      <c r="I273" t="s">
        <v>1639</v>
      </c>
      <c r="J273" t="s">
        <v>1649</v>
      </c>
      <c r="K273" s="7">
        <v>29273</v>
      </c>
    </row>
    <row r="274" spans="1:11" x14ac:dyDescent="0.25">
      <c r="A274">
        <v>273</v>
      </c>
      <c r="B274" t="s">
        <v>2693</v>
      </c>
      <c r="C274" t="s">
        <v>75</v>
      </c>
      <c r="D274" t="s">
        <v>1612</v>
      </c>
      <c r="E274" s="7">
        <v>39675</v>
      </c>
      <c r="F274" t="s">
        <v>2694</v>
      </c>
      <c r="G274" t="s">
        <v>2695</v>
      </c>
      <c r="H274" t="s">
        <v>2696</v>
      </c>
      <c r="I274" t="s">
        <v>1645</v>
      </c>
      <c r="J274" t="s">
        <v>1663</v>
      </c>
      <c r="K274" s="7">
        <v>35372</v>
      </c>
    </row>
    <row r="275" spans="1:11" x14ac:dyDescent="0.25">
      <c r="A275">
        <v>274</v>
      </c>
      <c r="B275" t="s">
        <v>2697</v>
      </c>
      <c r="C275" t="s">
        <v>83</v>
      </c>
      <c r="D275" t="s">
        <v>1606</v>
      </c>
      <c r="E275" s="7">
        <v>38729</v>
      </c>
      <c r="F275" t="s">
        <v>2698</v>
      </c>
      <c r="G275" t="s">
        <v>2699</v>
      </c>
      <c r="H275" t="s">
        <v>2700</v>
      </c>
      <c r="I275" t="s">
        <v>1639</v>
      </c>
      <c r="J275" t="s">
        <v>1649</v>
      </c>
      <c r="K275" s="7">
        <v>35415</v>
      </c>
    </row>
    <row r="276" spans="1:11" x14ac:dyDescent="0.25">
      <c r="A276">
        <v>275</v>
      </c>
      <c r="B276" t="s">
        <v>2701</v>
      </c>
      <c r="C276" t="s">
        <v>83</v>
      </c>
      <c r="D276" t="s">
        <v>1598</v>
      </c>
      <c r="E276" s="7">
        <v>44491</v>
      </c>
      <c r="F276" t="s">
        <v>2702</v>
      </c>
      <c r="G276" t="s">
        <v>2703</v>
      </c>
      <c r="H276" t="s">
        <v>2704</v>
      </c>
      <c r="I276" t="s">
        <v>1645</v>
      </c>
      <c r="J276" t="s">
        <v>1663</v>
      </c>
      <c r="K276" s="7">
        <v>27628</v>
      </c>
    </row>
    <row r="277" spans="1:11" x14ac:dyDescent="0.25">
      <c r="A277">
        <v>276</v>
      </c>
      <c r="B277" t="s">
        <v>2705</v>
      </c>
      <c r="C277" t="s">
        <v>83</v>
      </c>
      <c r="D277" t="s">
        <v>1602</v>
      </c>
      <c r="E277" s="7">
        <v>43908</v>
      </c>
      <c r="F277" t="s">
        <v>2706</v>
      </c>
      <c r="G277" t="s">
        <v>2707</v>
      </c>
      <c r="H277" t="s">
        <v>2708</v>
      </c>
      <c r="I277" t="s">
        <v>1645</v>
      </c>
      <c r="J277" t="s">
        <v>1640</v>
      </c>
      <c r="K277" s="7">
        <v>35109</v>
      </c>
    </row>
    <row r="278" spans="1:11" x14ac:dyDescent="0.25">
      <c r="A278">
        <v>277</v>
      </c>
      <c r="B278" t="s">
        <v>2709</v>
      </c>
      <c r="C278" t="s">
        <v>75</v>
      </c>
      <c r="D278" t="s">
        <v>1600</v>
      </c>
      <c r="E278" s="7">
        <v>41570</v>
      </c>
      <c r="F278" t="s">
        <v>2710</v>
      </c>
      <c r="G278" t="s">
        <v>2711</v>
      </c>
      <c r="H278" t="s">
        <v>2712</v>
      </c>
      <c r="I278" t="s">
        <v>1645</v>
      </c>
      <c r="J278" t="s">
        <v>1663</v>
      </c>
      <c r="K278" s="7">
        <v>36728</v>
      </c>
    </row>
    <row r="279" spans="1:11" x14ac:dyDescent="0.25">
      <c r="A279">
        <v>278</v>
      </c>
      <c r="B279" t="s">
        <v>2713</v>
      </c>
      <c r="C279" t="s">
        <v>83</v>
      </c>
      <c r="D279" t="s">
        <v>1604</v>
      </c>
      <c r="E279" s="7">
        <v>38889</v>
      </c>
      <c r="F279" t="s">
        <v>2714</v>
      </c>
      <c r="G279" t="s">
        <v>2715</v>
      </c>
      <c r="H279" t="s">
        <v>2716</v>
      </c>
      <c r="I279" t="s">
        <v>1738</v>
      </c>
      <c r="J279" t="s">
        <v>397</v>
      </c>
      <c r="K279" s="7">
        <v>26062</v>
      </c>
    </row>
    <row r="280" spans="1:11" x14ac:dyDescent="0.25">
      <c r="A280">
        <v>279</v>
      </c>
      <c r="B280" t="s">
        <v>2717</v>
      </c>
      <c r="C280" t="s">
        <v>75</v>
      </c>
      <c r="D280" t="s">
        <v>1610</v>
      </c>
      <c r="E280" s="7">
        <v>38978</v>
      </c>
      <c r="F280" t="s">
        <v>2718</v>
      </c>
      <c r="G280" t="s">
        <v>2719</v>
      </c>
      <c r="H280" t="s">
        <v>2720</v>
      </c>
      <c r="I280" t="s">
        <v>1645</v>
      </c>
      <c r="J280" t="s">
        <v>467</v>
      </c>
      <c r="K280" s="7">
        <v>29765</v>
      </c>
    </row>
    <row r="281" spans="1:11" x14ac:dyDescent="0.25">
      <c r="A281">
        <v>280</v>
      </c>
      <c r="B281" t="s">
        <v>2721</v>
      </c>
      <c r="C281" t="s">
        <v>83</v>
      </c>
      <c r="D281" t="s">
        <v>1606</v>
      </c>
      <c r="E281" s="7">
        <v>41701</v>
      </c>
      <c r="F281" t="s">
        <v>2722</v>
      </c>
      <c r="G281">
        <f>1-348-450-3982</f>
        <v>-4779</v>
      </c>
      <c r="H281" t="s">
        <v>2723</v>
      </c>
      <c r="I281" t="s">
        <v>1634</v>
      </c>
      <c r="J281" t="s">
        <v>467</v>
      </c>
      <c r="K281" s="7">
        <v>27893</v>
      </c>
    </row>
    <row r="282" spans="1:11" x14ac:dyDescent="0.25">
      <c r="A282">
        <v>281</v>
      </c>
      <c r="B282" t="s">
        <v>2724</v>
      </c>
      <c r="C282" t="s">
        <v>83</v>
      </c>
      <c r="D282" t="s">
        <v>1614</v>
      </c>
      <c r="E282" s="7">
        <v>42942</v>
      </c>
      <c r="F282" t="s">
        <v>2725</v>
      </c>
      <c r="G282" t="s">
        <v>2726</v>
      </c>
      <c r="H282" t="s">
        <v>2727</v>
      </c>
      <c r="I282" t="s">
        <v>1654</v>
      </c>
      <c r="J282" t="s">
        <v>397</v>
      </c>
      <c r="K282" s="7">
        <v>30148</v>
      </c>
    </row>
    <row r="283" spans="1:11" x14ac:dyDescent="0.25">
      <c r="A283">
        <v>282</v>
      </c>
      <c r="B283" t="s">
        <v>2728</v>
      </c>
      <c r="C283" t="s">
        <v>75</v>
      </c>
      <c r="D283" t="s">
        <v>1602</v>
      </c>
      <c r="E283" s="7">
        <v>44220</v>
      </c>
      <c r="F283" t="s">
        <v>2729</v>
      </c>
      <c r="G283" t="s">
        <v>2730</v>
      </c>
      <c r="H283" t="s">
        <v>2731</v>
      </c>
      <c r="I283" t="s">
        <v>1639</v>
      </c>
      <c r="J283" t="s">
        <v>397</v>
      </c>
      <c r="K283" s="7">
        <v>30349</v>
      </c>
    </row>
    <row r="284" spans="1:11" x14ac:dyDescent="0.25">
      <c r="A284">
        <v>283</v>
      </c>
      <c r="B284" t="s">
        <v>2732</v>
      </c>
      <c r="C284" t="s">
        <v>75</v>
      </c>
      <c r="D284" t="s">
        <v>1598</v>
      </c>
      <c r="E284" s="7">
        <v>43786</v>
      </c>
      <c r="F284" t="s">
        <v>2733</v>
      </c>
      <c r="G284" t="s">
        <v>2734</v>
      </c>
      <c r="H284" t="s">
        <v>2735</v>
      </c>
      <c r="I284" t="s">
        <v>1654</v>
      </c>
      <c r="J284" t="s">
        <v>1640</v>
      </c>
      <c r="K284" s="7">
        <v>33354</v>
      </c>
    </row>
    <row r="285" spans="1:11" x14ac:dyDescent="0.25">
      <c r="A285">
        <v>284</v>
      </c>
      <c r="B285" t="s">
        <v>2736</v>
      </c>
      <c r="C285" t="s">
        <v>75</v>
      </c>
      <c r="D285" t="s">
        <v>1608</v>
      </c>
      <c r="E285" s="7">
        <v>39601</v>
      </c>
      <c r="F285" t="s">
        <v>2737</v>
      </c>
      <c r="G285">
        <f>1-872-195-2012</f>
        <v>-3078</v>
      </c>
      <c r="H285" t="s">
        <v>2738</v>
      </c>
      <c r="I285" t="s">
        <v>1738</v>
      </c>
      <c r="J285" t="s">
        <v>1640</v>
      </c>
      <c r="K285" s="7">
        <v>28747</v>
      </c>
    </row>
    <row r="286" spans="1:11" x14ac:dyDescent="0.25">
      <c r="A286">
        <v>285</v>
      </c>
      <c r="B286" t="s">
        <v>2739</v>
      </c>
      <c r="C286" t="s">
        <v>75</v>
      </c>
      <c r="D286" t="s">
        <v>1596</v>
      </c>
      <c r="E286" s="7">
        <v>44462</v>
      </c>
      <c r="F286" t="s">
        <v>2740</v>
      </c>
      <c r="G286" t="s">
        <v>2741</v>
      </c>
      <c r="H286" t="s">
        <v>2742</v>
      </c>
      <c r="I286" t="s">
        <v>1645</v>
      </c>
      <c r="J286" t="s">
        <v>1640</v>
      </c>
      <c r="K286" s="7">
        <v>25102</v>
      </c>
    </row>
    <row r="287" spans="1:11" x14ac:dyDescent="0.25">
      <c r="A287">
        <v>286</v>
      </c>
      <c r="B287" t="s">
        <v>2743</v>
      </c>
      <c r="C287" t="s">
        <v>83</v>
      </c>
      <c r="D287" t="s">
        <v>1596</v>
      </c>
      <c r="E287" s="7">
        <v>39904</v>
      </c>
      <c r="F287" t="s">
        <v>2744</v>
      </c>
      <c r="G287" t="s">
        <v>2745</v>
      </c>
      <c r="H287" t="s">
        <v>2746</v>
      </c>
      <c r="I287" t="s">
        <v>1645</v>
      </c>
      <c r="J287" t="s">
        <v>467</v>
      </c>
      <c r="K287" s="7">
        <v>29114</v>
      </c>
    </row>
    <row r="288" spans="1:11" x14ac:dyDescent="0.25">
      <c r="A288">
        <v>287</v>
      </c>
      <c r="B288" t="s">
        <v>2317</v>
      </c>
      <c r="C288" t="s">
        <v>83</v>
      </c>
      <c r="D288" t="s">
        <v>1610</v>
      </c>
      <c r="E288" s="7">
        <v>40730</v>
      </c>
      <c r="F288" t="s">
        <v>2747</v>
      </c>
      <c r="G288">
        <f>1-429-858-7748</f>
        <v>-9034</v>
      </c>
      <c r="H288" t="s">
        <v>2748</v>
      </c>
      <c r="I288" t="s">
        <v>1654</v>
      </c>
      <c r="J288" t="s">
        <v>1649</v>
      </c>
      <c r="K288" s="7">
        <v>28343</v>
      </c>
    </row>
    <row r="289" spans="1:11" x14ac:dyDescent="0.25">
      <c r="A289">
        <v>288</v>
      </c>
      <c r="B289" t="s">
        <v>2749</v>
      </c>
      <c r="C289" t="s">
        <v>83</v>
      </c>
      <c r="D289" t="s">
        <v>1612</v>
      </c>
      <c r="E289" s="7">
        <v>40730</v>
      </c>
      <c r="F289" t="s">
        <v>2750</v>
      </c>
      <c r="G289">
        <v>7653902376</v>
      </c>
      <c r="H289" t="s">
        <v>2751</v>
      </c>
      <c r="I289" t="s">
        <v>1639</v>
      </c>
      <c r="J289" t="s">
        <v>397</v>
      </c>
      <c r="K289" s="7">
        <v>32253</v>
      </c>
    </row>
    <row r="290" spans="1:11" x14ac:dyDescent="0.25">
      <c r="A290">
        <v>289</v>
      </c>
      <c r="B290" t="s">
        <v>2752</v>
      </c>
      <c r="C290" t="s">
        <v>75</v>
      </c>
      <c r="D290" t="s">
        <v>1600</v>
      </c>
      <c r="E290" s="7">
        <v>43791</v>
      </c>
      <c r="F290" t="s">
        <v>2753</v>
      </c>
      <c r="G290" t="s">
        <v>2754</v>
      </c>
      <c r="H290" t="s">
        <v>2755</v>
      </c>
      <c r="I290" t="s">
        <v>1738</v>
      </c>
      <c r="J290" t="s">
        <v>1649</v>
      </c>
      <c r="K290" s="7">
        <v>32142</v>
      </c>
    </row>
    <row r="291" spans="1:11" x14ac:dyDescent="0.25">
      <c r="A291">
        <v>290</v>
      </c>
      <c r="B291" t="s">
        <v>2756</v>
      </c>
      <c r="C291" t="s">
        <v>75</v>
      </c>
      <c r="D291" t="s">
        <v>1608</v>
      </c>
      <c r="E291" s="7">
        <v>43344</v>
      </c>
      <c r="F291" t="s">
        <v>2757</v>
      </c>
      <c r="G291" t="s">
        <v>2758</v>
      </c>
      <c r="H291" t="s">
        <v>2759</v>
      </c>
      <c r="I291" t="s">
        <v>1634</v>
      </c>
      <c r="J291" t="s">
        <v>467</v>
      </c>
      <c r="K291" s="7">
        <v>29078</v>
      </c>
    </row>
    <row r="292" spans="1:11" x14ac:dyDescent="0.25">
      <c r="A292">
        <v>291</v>
      </c>
      <c r="B292" t="s">
        <v>2760</v>
      </c>
      <c r="C292" t="s">
        <v>75</v>
      </c>
      <c r="D292" t="s">
        <v>1614</v>
      </c>
      <c r="E292" s="7">
        <v>40651</v>
      </c>
      <c r="F292" t="s">
        <v>2761</v>
      </c>
      <c r="G292" t="s">
        <v>2762</v>
      </c>
      <c r="H292" t="s">
        <v>2763</v>
      </c>
      <c r="I292" t="s">
        <v>1645</v>
      </c>
      <c r="J292" t="s">
        <v>397</v>
      </c>
      <c r="K292" s="7">
        <v>32328</v>
      </c>
    </row>
    <row r="293" spans="1:11" x14ac:dyDescent="0.25">
      <c r="A293">
        <v>292</v>
      </c>
      <c r="B293" t="s">
        <v>2764</v>
      </c>
      <c r="C293" t="s">
        <v>83</v>
      </c>
      <c r="D293" t="s">
        <v>1606</v>
      </c>
      <c r="E293" s="7">
        <v>45731</v>
      </c>
      <c r="F293" t="s">
        <v>2765</v>
      </c>
      <c r="G293" t="s">
        <v>2766</v>
      </c>
      <c r="H293" t="s">
        <v>2767</v>
      </c>
      <c r="I293" t="s">
        <v>1634</v>
      </c>
      <c r="J293" t="s">
        <v>397</v>
      </c>
      <c r="K293" s="7">
        <v>33825</v>
      </c>
    </row>
    <row r="294" spans="1:11" x14ac:dyDescent="0.25">
      <c r="A294">
        <v>293</v>
      </c>
      <c r="B294" t="s">
        <v>2768</v>
      </c>
      <c r="C294" t="s">
        <v>83</v>
      </c>
      <c r="D294" t="s">
        <v>1596</v>
      </c>
      <c r="E294" s="7">
        <v>38554</v>
      </c>
      <c r="F294" t="s">
        <v>2769</v>
      </c>
      <c r="G294" t="s">
        <v>2770</v>
      </c>
      <c r="H294" t="s">
        <v>2771</v>
      </c>
      <c r="I294" t="s">
        <v>1738</v>
      </c>
      <c r="J294" t="s">
        <v>397</v>
      </c>
      <c r="K294" s="7">
        <v>33540</v>
      </c>
    </row>
    <row r="295" spans="1:11" x14ac:dyDescent="0.25">
      <c r="A295">
        <v>294</v>
      </c>
      <c r="B295" t="s">
        <v>2772</v>
      </c>
      <c r="C295" t="s">
        <v>75</v>
      </c>
      <c r="D295" t="s">
        <v>1608</v>
      </c>
      <c r="E295" s="7">
        <v>43085</v>
      </c>
      <c r="F295" t="s">
        <v>2773</v>
      </c>
      <c r="G295">
        <v>6353758070</v>
      </c>
      <c r="H295" t="s">
        <v>2774</v>
      </c>
      <c r="I295" t="s">
        <v>1645</v>
      </c>
      <c r="J295" t="s">
        <v>1640</v>
      </c>
      <c r="K295" s="7">
        <v>29596</v>
      </c>
    </row>
    <row r="296" spans="1:11" x14ac:dyDescent="0.25">
      <c r="A296">
        <v>295</v>
      </c>
      <c r="B296" t="s">
        <v>2775</v>
      </c>
      <c r="C296" t="s">
        <v>75</v>
      </c>
      <c r="D296" t="s">
        <v>1608</v>
      </c>
      <c r="E296" s="7">
        <v>41858</v>
      </c>
      <c r="F296" t="s">
        <v>2776</v>
      </c>
      <c r="G296" t="s">
        <v>2777</v>
      </c>
      <c r="H296" t="s">
        <v>2778</v>
      </c>
      <c r="I296" t="s">
        <v>1634</v>
      </c>
      <c r="J296" t="s">
        <v>397</v>
      </c>
      <c r="K296" s="7">
        <v>30441</v>
      </c>
    </row>
    <row r="297" spans="1:11" x14ac:dyDescent="0.25">
      <c r="A297">
        <v>296</v>
      </c>
      <c r="B297" t="s">
        <v>2779</v>
      </c>
      <c r="C297" t="s">
        <v>83</v>
      </c>
      <c r="D297" t="s">
        <v>1614</v>
      </c>
      <c r="E297" s="7">
        <v>40212</v>
      </c>
      <c r="F297" t="s">
        <v>2780</v>
      </c>
      <c r="G297" t="s">
        <v>2781</v>
      </c>
      <c r="H297" t="s">
        <v>2782</v>
      </c>
      <c r="I297" t="s">
        <v>1738</v>
      </c>
      <c r="J297" t="s">
        <v>467</v>
      </c>
      <c r="K297" s="7">
        <v>34175</v>
      </c>
    </row>
    <row r="298" spans="1:11" x14ac:dyDescent="0.25">
      <c r="A298">
        <v>297</v>
      </c>
      <c r="B298" t="s">
        <v>2783</v>
      </c>
      <c r="C298" t="s">
        <v>83</v>
      </c>
      <c r="D298" t="s">
        <v>1606</v>
      </c>
      <c r="E298" s="7">
        <v>39398</v>
      </c>
      <c r="F298" t="s">
        <v>2784</v>
      </c>
      <c r="G298" t="s">
        <v>2785</v>
      </c>
      <c r="H298" t="s">
        <v>2786</v>
      </c>
      <c r="I298" t="s">
        <v>1645</v>
      </c>
      <c r="J298" t="s">
        <v>397</v>
      </c>
      <c r="K298" s="7">
        <v>30311</v>
      </c>
    </row>
    <row r="299" spans="1:11" x14ac:dyDescent="0.25">
      <c r="A299">
        <v>298</v>
      </c>
      <c r="B299" t="s">
        <v>2787</v>
      </c>
      <c r="C299" t="s">
        <v>75</v>
      </c>
      <c r="D299" t="s">
        <v>1598</v>
      </c>
      <c r="E299" s="7">
        <v>39473</v>
      </c>
      <c r="F299" t="s">
        <v>2788</v>
      </c>
      <c r="G299" t="s">
        <v>2789</v>
      </c>
      <c r="H299" t="s">
        <v>2790</v>
      </c>
      <c r="I299" t="s">
        <v>1634</v>
      </c>
      <c r="J299" t="s">
        <v>397</v>
      </c>
      <c r="K299" s="7">
        <v>26544</v>
      </c>
    </row>
    <row r="300" spans="1:11" x14ac:dyDescent="0.25">
      <c r="A300">
        <v>299</v>
      </c>
      <c r="B300" t="s">
        <v>2791</v>
      </c>
      <c r="C300" t="s">
        <v>83</v>
      </c>
      <c r="D300" t="s">
        <v>1600</v>
      </c>
      <c r="E300" s="7">
        <v>41989</v>
      </c>
      <c r="F300" t="s">
        <v>2792</v>
      </c>
      <c r="G300" t="s">
        <v>2793</v>
      </c>
      <c r="H300" t="s">
        <v>2794</v>
      </c>
      <c r="I300" t="s">
        <v>1634</v>
      </c>
      <c r="J300" t="s">
        <v>467</v>
      </c>
      <c r="K300" s="7">
        <v>28231</v>
      </c>
    </row>
    <row r="301" spans="1:11" x14ac:dyDescent="0.25">
      <c r="A301">
        <v>300</v>
      </c>
      <c r="B301" t="s">
        <v>2795</v>
      </c>
      <c r="C301" t="s">
        <v>75</v>
      </c>
      <c r="D301" t="s">
        <v>1610</v>
      </c>
      <c r="E301" s="7">
        <v>43561</v>
      </c>
      <c r="F301" t="s">
        <v>2796</v>
      </c>
      <c r="G301" t="s">
        <v>2797</v>
      </c>
      <c r="H301" t="s">
        <v>2798</v>
      </c>
      <c r="I301" t="s">
        <v>1738</v>
      </c>
      <c r="J301" t="s">
        <v>1640</v>
      </c>
      <c r="K301" s="7">
        <v>24776</v>
      </c>
    </row>
    <row r="302" spans="1:11" x14ac:dyDescent="0.25">
      <c r="A302">
        <v>301</v>
      </c>
      <c r="B302" t="s">
        <v>2799</v>
      </c>
      <c r="C302" t="s">
        <v>83</v>
      </c>
      <c r="D302" t="s">
        <v>1600</v>
      </c>
      <c r="E302" s="7">
        <v>42762</v>
      </c>
      <c r="F302" t="s">
        <v>2800</v>
      </c>
      <c r="G302" t="s">
        <v>2801</v>
      </c>
      <c r="H302" t="s">
        <v>2802</v>
      </c>
      <c r="I302" t="s">
        <v>1639</v>
      </c>
      <c r="J302" t="s">
        <v>1640</v>
      </c>
      <c r="K302" s="7">
        <v>30544</v>
      </c>
    </row>
    <row r="303" spans="1:11" x14ac:dyDescent="0.25">
      <c r="A303">
        <v>302</v>
      </c>
      <c r="B303" t="s">
        <v>2803</v>
      </c>
      <c r="C303" t="s">
        <v>75</v>
      </c>
      <c r="D303" t="s">
        <v>1600</v>
      </c>
      <c r="E303" s="7">
        <v>41894</v>
      </c>
      <c r="F303" t="s">
        <v>2804</v>
      </c>
      <c r="G303" t="s">
        <v>2805</v>
      </c>
      <c r="H303" t="s">
        <v>2806</v>
      </c>
      <c r="I303" t="s">
        <v>1654</v>
      </c>
      <c r="J303" t="s">
        <v>397</v>
      </c>
      <c r="K303" s="7">
        <v>27996</v>
      </c>
    </row>
    <row r="304" spans="1:11" x14ac:dyDescent="0.25">
      <c r="A304">
        <v>303</v>
      </c>
      <c r="B304" t="s">
        <v>2807</v>
      </c>
      <c r="C304" t="s">
        <v>75</v>
      </c>
      <c r="D304" t="s">
        <v>1604</v>
      </c>
      <c r="E304" s="7">
        <v>40314</v>
      </c>
      <c r="F304" t="s">
        <v>2808</v>
      </c>
      <c r="G304" t="s">
        <v>2809</v>
      </c>
      <c r="H304" t="s">
        <v>2810</v>
      </c>
      <c r="I304" t="s">
        <v>1738</v>
      </c>
      <c r="J304" t="s">
        <v>467</v>
      </c>
      <c r="K304" s="7">
        <v>34722</v>
      </c>
    </row>
    <row r="305" spans="1:11" x14ac:dyDescent="0.25">
      <c r="A305">
        <v>304</v>
      </c>
      <c r="B305" t="s">
        <v>2811</v>
      </c>
      <c r="C305" t="s">
        <v>83</v>
      </c>
      <c r="D305" t="s">
        <v>1598</v>
      </c>
      <c r="E305" s="7">
        <v>38842</v>
      </c>
      <c r="F305" t="s">
        <v>2812</v>
      </c>
      <c r="G305" t="s">
        <v>2813</v>
      </c>
      <c r="H305" t="s">
        <v>2814</v>
      </c>
      <c r="I305" t="s">
        <v>1639</v>
      </c>
      <c r="J305" t="s">
        <v>397</v>
      </c>
      <c r="K305" s="7">
        <v>34194</v>
      </c>
    </row>
    <row r="306" spans="1:11" x14ac:dyDescent="0.25">
      <c r="A306">
        <v>305</v>
      </c>
      <c r="B306" t="s">
        <v>2815</v>
      </c>
      <c r="C306" t="s">
        <v>83</v>
      </c>
      <c r="D306" t="s">
        <v>1602</v>
      </c>
      <c r="E306" s="7">
        <v>40372</v>
      </c>
      <c r="F306" t="s">
        <v>2816</v>
      </c>
      <c r="G306" t="s">
        <v>2817</v>
      </c>
      <c r="H306" t="s">
        <v>2818</v>
      </c>
      <c r="I306" t="s">
        <v>1634</v>
      </c>
      <c r="J306" t="s">
        <v>1640</v>
      </c>
      <c r="K306" s="7">
        <v>34062</v>
      </c>
    </row>
    <row r="307" spans="1:11" x14ac:dyDescent="0.25">
      <c r="A307">
        <v>306</v>
      </c>
      <c r="B307" t="s">
        <v>2819</v>
      </c>
      <c r="C307" t="s">
        <v>75</v>
      </c>
      <c r="D307" t="s">
        <v>1602</v>
      </c>
      <c r="E307" s="7">
        <v>43483</v>
      </c>
      <c r="F307" t="s">
        <v>2820</v>
      </c>
      <c r="G307" t="s">
        <v>2821</v>
      </c>
      <c r="H307" t="s">
        <v>2822</v>
      </c>
      <c r="I307" t="s">
        <v>1634</v>
      </c>
      <c r="J307" t="s">
        <v>1663</v>
      </c>
      <c r="K307" s="7">
        <v>25704</v>
      </c>
    </row>
    <row r="308" spans="1:11" x14ac:dyDescent="0.25">
      <c r="A308">
        <v>307</v>
      </c>
      <c r="B308" t="s">
        <v>2823</v>
      </c>
      <c r="C308" t="s">
        <v>75</v>
      </c>
      <c r="D308" t="s">
        <v>1612</v>
      </c>
      <c r="E308" s="7">
        <v>45105</v>
      </c>
      <c r="F308" t="s">
        <v>2824</v>
      </c>
      <c r="G308" t="s">
        <v>2825</v>
      </c>
      <c r="H308" t="s">
        <v>2826</v>
      </c>
      <c r="I308" t="s">
        <v>1645</v>
      </c>
      <c r="J308" t="s">
        <v>1663</v>
      </c>
      <c r="K308" s="7">
        <v>37079</v>
      </c>
    </row>
    <row r="309" spans="1:11" x14ac:dyDescent="0.25">
      <c r="A309">
        <v>308</v>
      </c>
      <c r="B309" t="s">
        <v>2827</v>
      </c>
      <c r="C309" t="s">
        <v>83</v>
      </c>
      <c r="D309" t="s">
        <v>1612</v>
      </c>
      <c r="E309" s="7">
        <v>44509</v>
      </c>
      <c r="F309" t="s">
        <v>2828</v>
      </c>
      <c r="G309" t="s">
        <v>2829</v>
      </c>
      <c r="H309" t="s">
        <v>2830</v>
      </c>
      <c r="I309" t="s">
        <v>1645</v>
      </c>
      <c r="J309" t="s">
        <v>467</v>
      </c>
      <c r="K309" s="7">
        <v>30085</v>
      </c>
    </row>
    <row r="310" spans="1:11" x14ac:dyDescent="0.25">
      <c r="A310">
        <v>309</v>
      </c>
      <c r="B310" t="s">
        <v>2831</v>
      </c>
      <c r="C310" t="s">
        <v>75</v>
      </c>
      <c r="D310" t="s">
        <v>1608</v>
      </c>
      <c r="E310" s="7">
        <v>43883</v>
      </c>
      <c r="F310" t="s">
        <v>2832</v>
      </c>
      <c r="G310" t="s">
        <v>2833</v>
      </c>
      <c r="H310" t="s">
        <v>2834</v>
      </c>
      <c r="I310" t="s">
        <v>1654</v>
      </c>
      <c r="J310" t="s">
        <v>1663</v>
      </c>
      <c r="K310" s="7">
        <v>24697</v>
      </c>
    </row>
    <row r="311" spans="1:11" x14ac:dyDescent="0.25">
      <c r="A311">
        <v>310</v>
      </c>
      <c r="B311" t="s">
        <v>2835</v>
      </c>
      <c r="C311" t="s">
        <v>83</v>
      </c>
      <c r="D311" t="s">
        <v>1596</v>
      </c>
      <c r="E311" s="7">
        <v>42926</v>
      </c>
      <c r="F311" t="s">
        <v>2836</v>
      </c>
      <c r="G311" t="s">
        <v>2837</v>
      </c>
      <c r="H311" t="s">
        <v>2838</v>
      </c>
      <c r="I311" t="s">
        <v>1654</v>
      </c>
      <c r="J311" t="s">
        <v>1663</v>
      </c>
      <c r="K311" s="7">
        <v>31325</v>
      </c>
    </row>
    <row r="312" spans="1:11" x14ac:dyDescent="0.25">
      <c r="A312">
        <v>311</v>
      </c>
      <c r="B312" t="s">
        <v>2839</v>
      </c>
      <c r="C312" t="s">
        <v>83</v>
      </c>
      <c r="D312" t="s">
        <v>1608</v>
      </c>
      <c r="E312" s="7">
        <v>40897</v>
      </c>
      <c r="F312" t="s">
        <v>2840</v>
      </c>
      <c r="G312" t="s">
        <v>2841</v>
      </c>
      <c r="H312" t="s">
        <v>2842</v>
      </c>
      <c r="I312" t="s">
        <v>1639</v>
      </c>
      <c r="J312" t="s">
        <v>467</v>
      </c>
      <c r="K312" s="7">
        <v>33717</v>
      </c>
    </row>
    <row r="313" spans="1:11" x14ac:dyDescent="0.25">
      <c r="A313">
        <v>312</v>
      </c>
      <c r="B313" t="s">
        <v>2843</v>
      </c>
      <c r="C313" t="s">
        <v>75</v>
      </c>
      <c r="D313" t="s">
        <v>1614</v>
      </c>
      <c r="E313" s="7">
        <v>43142</v>
      </c>
      <c r="F313" t="s">
        <v>2844</v>
      </c>
      <c r="G313" t="s">
        <v>2845</v>
      </c>
      <c r="H313" t="s">
        <v>2846</v>
      </c>
      <c r="I313" t="s">
        <v>1634</v>
      </c>
      <c r="J313" t="s">
        <v>1640</v>
      </c>
      <c r="K313" s="7">
        <v>34901</v>
      </c>
    </row>
    <row r="314" spans="1:11" x14ac:dyDescent="0.25">
      <c r="A314">
        <v>313</v>
      </c>
      <c r="B314" t="s">
        <v>2847</v>
      </c>
      <c r="C314" t="s">
        <v>83</v>
      </c>
      <c r="D314" t="s">
        <v>1612</v>
      </c>
      <c r="E314" s="7">
        <v>45086</v>
      </c>
      <c r="F314" t="s">
        <v>2848</v>
      </c>
      <c r="G314" t="s">
        <v>2849</v>
      </c>
      <c r="H314" t="s">
        <v>2850</v>
      </c>
      <c r="I314" t="s">
        <v>1634</v>
      </c>
      <c r="J314" t="s">
        <v>1663</v>
      </c>
      <c r="K314" s="7">
        <v>36715</v>
      </c>
    </row>
    <row r="315" spans="1:11" x14ac:dyDescent="0.25">
      <c r="A315">
        <v>314</v>
      </c>
      <c r="B315" t="s">
        <v>2851</v>
      </c>
      <c r="C315" t="s">
        <v>83</v>
      </c>
      <c r="D315" t="s">
        <v>1604</v>
      </c>
      <c r="E315" s="7">
        <v>41267</v>
      </c>
      <c r="F315" t="s">
        <v>2852</v>
      </c>
      <c r="G315" t="s">
        <v>2853</v>
      </c>
      <c r="H315" t="s">
        <v>2854</v>
      </c>
      <c r="I315" t="s">
        <v>1654</v>
      </c>
      <c r="J315" t="s">
        <v>1649</v>
      </c>
      <c r="K315" s="7">
        <v>37617</v>
      </c>
    </row>
    <row r="316" spans="1:11" x14ac:dyDescent="0.25">
      <c r="A316">
        <v>315</v>
      </c>
      <c r="B316" t="s">
        <v>2855</v>
      </c>
      <c r="C316" t="s">
        <v>83</v>
      </c>
      <c r="D316" t="s">
        <v>1604</v>
      </c>
      <c r="E316" s="7">
        <v>44431</v>
      </c>
      <c r="F316" t="s">
        <v>2856</v>
      </c>
      <c r="G316" t="s">
        <v>2857</v>
      </c>
      <c r="H316" t="s">
        <v>2858</v>
      </c>
      <c r="I316" t="s">
        <v>1634</v>
      </c>
      <c r="J316" t="s">
        <v>1640</v>
      </c>
      <c r="K316" s="7">
        <v>26869</v>
      </c>
    </row>
    <row r="317" spans="1:11" x14ac:dyDescent="0.25">
      <c r="A317">
        <v>316</v>
      </c>
      <c r="B317" t="s">
        <v>2859</v>
      </c>
      <c r="C317" t="s">
        <v>83</v>
      </c>
      <c r="D317" t="s">
        <v>1608</v>
      </c>
      <c r="E317" s="7">
        <v>45334</v>
      </c>
      <c r="F317" t="s">
        <v>2860</v>
      </c>
      <c r="G317" t="s">
        <v>2861</v>
      </c>
      <c r="H317" t="s">
        <v>2862</v>
      </c>
      <c r="I317" t="s">
        <v>1738</v>
      </c>
      <c r="J317" t="s">
        <v>467</v>
      </c>
      <c r="K317" s="7">
        <v>34340</v>
      </c>
    </row>
    <row r="318" spans="1:11" x14ac:dyDescent="0.25">
      <c r="A318">
        <v>317</v>
      </c>
      <c r="B318" t="s">
        <v>2863</v>
      </c>
      <c r="C318" t="s">
        <v>83</v>
      </c>
      <c r="D318" t="s">
        <v>1614</v>
      </c>
      <c r="E318" s="7">
        <v>44246</v>
      </c>
      <c r="F318" t="s">
        <v>2864</v>
      </c>
      <c r="G318" t="s">
        <v>2865</v>
      </c>
      <c r="H318" t="s">
        <v>2866</v>
      </c>
      <c r="I318" t="s">
        <v>1645</v>
      </c>
      <c r="J318" t="s">
        <v>467</v>
      </c>
      <c r="K318" s="7">
        <v>31119</v>
      </c>
    </row>
    <row r="319" spans="1:11" x14ac:dyDescent="0.25">
      <c r="A319">
        <v>318</v>
      </c>
      <c r="B319" t="s">
        <v>2867</v>
      </c>
      <c r="C319" t="s">
        <v>83</v>
      </c>
      <c r="D319" t="s">
        <v>1604</v>
      </c>
      <c r="E319" s="7">
        <v>41734</v>
      </c>
      <c r="F319" t="s">
        <v>2868</v>
      </c>
      <c r="G319" t="s">
        <v>2869</v>
      </c>
      <c r="H319" t="s">
        <v>2870</v>
      </c>
      <c r="I319" t="s">
        <v>1738</v>
      </c>
      <c r="J319" t="s">
        <v>467</v>
      </c>
      <c r="K319" s="7">
        <v>29507</v>
      </c>
    </row>
    <row r="320" spans="1:11" x14ac:dyDescent="0.25">
      <c r="A320">
        <v>319</v>
      </c>
      <c r="B320" t="s">
        <v>2871</v>
      </c>
      <c r="C320" t="s">
        <v>83</v>
      </c>
      <c r="D320" t="s">
        <v>1610</v>
      </c>
      <c r="E320" s="7">
        <v>41490</v>
      </c>
      <c r="F320" t="s">
        <v>2872</v>
      </c>
      <c r="G320">
        <v>5370397825</v>
      </c>
      <c r="H320" t="s">
        <v>2873</v>
      </c>
      <c r="I320" t="s">
        <v>1639</v>
      </c>
      <c r="J320" t="s">
        <v>467</v>
      </c>
      <c r="K320" s="7">
        <v>32710</v>
      </c>
    </row>
    <row r="321" spans="1:11" x14ac:dyDescent="0.25">
      <c r="A321">
        <v>320</v>
      </c>
      <c r="B321" t="s">
        <v>2874</v>
      </c>
      <c r="C321" t="s">
        <v>75</v>
      </c>
      <c r="D321" t="s">
        <v>1598</v>
      </c>
      <c r="E321" s="7">
        <v>42786</v>
      </c>
      <c r="F321" t="s">
        <v>2875</v>
      </c>
      <c r="G321" t="s">
        <v>2876</v>
      </c>
      <c r="H321" t="s">
        <v>2877</v>
      </c>
      <c r="I321" t="s">
        <v>1645</v>
      </c>
      <c r="J321" t="s">
        <v>1649</v>
      </c>
      <c r="K321" s="7">
        <v>35640</v>
      </c>
    </row>
    <row r="322" spans="1:11" x14ac:dyDescent="0.25">
      <c r="A322">
        <v>321</v>
      </c>
      <c r="B322" t="s">
        <v>2878</v>
      </c>
      <c r="C322" t="s">
        <v>83</v>
      </c>
      <c r="D322" t="s">
        <v>1604</v>
      </c>
      <c r="E322" s="7">
        <v>41239</v>
      </c>
      <c r="F322" t="s">
        <v>2879</v>
      </c>
      <c r="G322" t="s">
        <v>2880</v>
      </c>
      <c r="H322" t="s">
        <v>2881</v>
      </c>
      <c r="I322" t="s">
        <v>1654</v>
      </c>
      <c r="J322" t="s">
        <v>1663</v>
      </c>
      <c r="K322" s="7">
        <v>32738</v>
      </c>
    </row>
    <row r="323" spans="1:11" x14ac:dyDescent="0.25">
      <c r="A323">
        <v>322</v>
      </c>
      <c r="B323" t="s">
        <v>2882</v>
      </c>
      <c r="C323" t="s">
        <v>83</v>
      </c>
      <c r="D323" t="s">
        <v>1608</v>
      </c>
      <c r="E323" s="7">
        <v>41684</v>
      </c>
      <c r="F323" t="s">
        <v>2883</v>
      </c>
      <c r="G323" t="s">
        <v>2884</v>
      </c>
      <c r="H323" t="s">
        <v>2885</v>
      </c>
      <c r="I323" t="s">
        <v>1645</v>
      </c>
      <c r="J323" t="s">
        <v>1663</v>
      </c>
      <c r="K323" s="7">
        <v>27443</v>
      </c>
    </row>
    <row r="324" spans="1:11" x14ac:dyDescent="0.25">
      <c r="A324">
        <v>323</v>
      </c>
      <c r="B324" t="s">
        <v>2886</v>
      </c>
      <c r="C324" t="s">
        <v>83</v>
      </c>
      <c r="D324" t="s">
        <v>1608</v>
      </c>
      <c r="E324" s="7">
        <v>38452</v>
      </c>
      <c r="F324" t="s">
        <v>2887</v>
      </c>
      <c r="G324" t="s">
        <v>2888</v>
      </c>
      <c r="H324" t="s">
        <v>2889</v>
      </c>
      <c r="I324" t="s">
        <v>1738</v>
      </c>
      <c r="J324" t="s">
        <v>1649</v>
      </c>
      <c r="K324" s="7">
        <v>33920</v>
      </c>
    </row>
    <row r="325" spans="1:11" x14ac:dyDescent="0.25">
      <c r="A325">
        <v>324</v>
      </c>
      <c r="B325" t="s">
        <v>2890</v>
      </c>
      <c r="C325" t="s">
        <v>83</v>
      </c>
      <c r="D325" t="s">
        <v>1606</v>
      </c>
      <c r="E325" s="7">
        <v>43186</v>
      </c>
      <c r="F325" t="s">
        <v>2891</v>
      </c>
      <c r="G325" t="s">
        <v>2892</v>
      </c>
      <c r="H325" t="s">
        <v>2893</v>
      </c>
      <c r="I325" t="s">
        <v>1738</v>
      </c>
      <c r="J325" t="s">
        <v>467</v>
      </c>
      <c r="K325" s="7">
        <v>37040</v>
      </c>
    </row>
    <row r="326" spans="1:11" x14ac:dyDescent="0.25">
      <c r="A326">
        <v>325</v>
      </c>
      <c r="B326" t="s">
        <v>2894</v>
      </c>
      <c r="C326" t="s">
        <v>75</v>
      </c>
      <c r="D326" t="s">
        <v>1614</v>
      </c>
      <c r="E326" s="7">
        <v>44941</v>
      </c>
      <c r="F326" t="s">
        <v>2895</v>
      </c>
      <c r="G326" t="s">
        <v>2896</v>
      </c>
      <c r="H326" t="s">
        <v>2897</v>
      </c>
      <c r="I326" t="s">
        <v>1738</v>
      </c>
      <c r="J326" t="s">
        <v>397</v>
      </c>
      <c r="K326" s="7">
        <v>36106</v>
      </c>
    </row>
    <row r="327" spans="1:11" x14ac:dyDescent="0.25">
      <c r="A327">
        <v>326</v>
      </c>
      <c r="B327" t="s">
        <v>2898</v>
      </c>
      <c r="C327" t="s">
        <v>83</v>
      </c>
      <c r="D327" t="s">
        <v>1606</v>
      </c>
      <c r="E327" s="7">
        <v>40270</v>
      </c>
      <c r="F327" t="s">
        <v>2899</v>
      </c>
      <c r="G327" t="s">
        <v>2900</v>
      </c>
      <c r="H327" t="s">
        <v>2901</v>
      </c>
      <c r="I327" t="s">
        <v>1738</v>
      </c>
      <c r="J327" t="s">
        <v>1649</v>
      </c>
      <c r="K327" s="7">
        <v>26082</v>
      </c>
    </row>
    <row r="328" spans="1:11" x14ac:dyDescent="0.25">
      <c r="A328">
        <v>327</v>
      </c>
      <c r="B328" t="s">
        <v>2902</v>
      </c>
      <c r="C328" t="s">
        <v>75</v>
      </c>
      <c r="D328" t="s">
        <v>1604</v>
      </c>
      <c r="E328" s="7">
        <v>41692</v>
      </c>
      <c r="F328" t="s">
        <v>2903</v>
      </c>
      <c r="G328" t="s">
        <v>2904</v>
      </c>
      <c r="H328" t="s">
        <v>2905</v>
      </c>
      <c r="I328" t="s">
        <v>1738</v>
      </c>
      <c r="J328" t="s">
        <v>397</v>
      </c>
      <c r="K328" s="7">
        <v>25567</v>
      </c>
    </row>
    <row r="329" spans="1:11" x14ac:dyDescent="0.25">
      <c r="A329">
        <v>328</v>
      </c>
      <c r="B329" t="s">
        <v>2906</v>
      </c>
      <c r="C329" t="s">
        <v>83</v>
      </c>
      <c r="D329" t="s">
        <v>1598</v>
      </c>
      <c r="E329" s="7">
        <v>40609</v>
      </c>
      <c r="F329" t="s">
        <v>2907</v>
      </c>
      <c r="G329" t="s">
        <v>2908</v>
      </c>
      <c r="H329" t="s">
        <v>2909</v>
      </c>
      <c r="I329" t="s">
        <v>1738</v>
      </c>
      <c r="J329" t="s">
        <v>467</v>
      </c>
      <c r="K329" s="7">
        <v>25607</v>
      </c>
    </row>
    <row r="330" spans="1:11" x14ac:dyDescent="0.25">
      <c r="A330">
        <v>329</v>
      </c>
      <c r="B330" t="s">
        <v>2910</v>
      </c>
      <c r="C330" t="s">
        <v>75</v>
      </c>
      <c r="D330" t="s">
        <v>1600</v>
      </c>
      <c r="E330" s="7">
        <v>44144</v>
      </c>
      <c r="F330" t="s">
        <v>2911</v>
      </c>
      <c r="G330" t="s">
        <v>2912</v>
      </c>
      <c r="H330" t="s">
        <v>2913</v>
      </c>
      <c r="I330" t="s">
        <v>1654</v>
      </c>
      <c r="J330" t="s">
        <v>1649</v>
      </c>
      <c r="K330" s="7">
        <v>34126</v>
      </c>
    </row>
    <row r="331" spans="1:11" x14ac:dyDescent="0.25">
      <c r="A331">
        <v>330</v>
      </c>
      <c r="B331" t="s">
        <v>2914</v>
      </c>
      <c r="C331" t="s">
        <v>83</v>
      </c>
      <c r="D331" t="s">
        <v>1612</v>
      </c>
      <c r="E331" s="7">
        <v>40619</v>
      </c>
      <c r="F331" t="s">
        <v>2915</v>
      </c>
      <c r="G331" t="s">
        <v>2916</v>
      </c>
      <c r="H331" t="s">
        <v>2917</v>
      </c>
      <c r="I331" t="s">
        <v>1738</v>
      </c>
      <c r="J331" t="s">
        <v>397</v>
      </c>
      <c r="K331" s="7">
        <v>32248</v>
      </c>
    </row>
    <row r="332" spans="1:11" x14ac:dyDescent="0.25">
      <c r="A332">
        <v>331</v>
      </c>
      <c r="B332" t="s">
        <v>2918</v>
      </c>
      <c r="C332" t="s">
        <v>75</v>
      </c>
      <c r="D332" t="s">
        <v>1600</v>
      </c>
      <c r="E332" s="7">
        <v>40418</v>
      </c>
      <c r="F332" t="s">
        <v>2919</v>
      </c>
      <c r="G332">
        <v>4265453342</v>
      </c>
      <c r="H332" t="s">
        <v>2920</v>
      </c>
      <c r="I332" t="s">
        <v>1654</v>
      </c>
      <c r="J332" t="s">
        <v>397</v>
      </c>
      <c r="K332" s="7">
        <v>35888</v>
      </c>
    </row>
    <row r="333" spans="1:11" x14ac:dyDescent="0.25">
      <c r="A333">
        <v>332</v>
      </c>
      <c r="B333" t="s">
        <v>2921</v>
      </c>
      <c r="C333" t="s">
        <v>75</v>
      </c>
      <c r="D333" t="s">
        <v>1612</v>
      </c>
      <c r="E333" s="7">
        <v>42086</v>
      </c>
      <c r="F333" t="s">
        <v>2922</v>
      </c>
      <c r="G333">
        <v>9828470843</v>
      </c>
      <c r="H333" t="s">
        <v>2923</v>
      </c>
      <c r="I333" t="s">
        <v>1634</v>
      </c>
      <c r="J333" t="s">
        <v>467</v>
      </c>
      <c r="K333" s="7">
        <v>34636</v>
      </c>
    </row>
    <row r="334" spans="1:11" x14ac:dyDescent="0.25">
      <c r="A334">
        <v>333</v>
      </c>
      <c r="B334" t="s">
        <v>2924</v>
      </c>
      <c r="C334" t="s">
        <v>83</v>
      </c>
      <c r="D334" t="s">
        <v>1600</v>
      </c>
      <c r="E334" s="7">
        <v>43666</v>
      </c>
      <c r="F334" t="s">
        <v>2925</v>
      </c>
      <c r="G334">
        <v>8216867419</v>
      </c>
      <c r="H334" t="s">
        <v>2926</v>
      </c>
      <c r="I334" t="s">
        <v>1654</v>
      </c>
      <c r="J334" t="s">
        <v>1649</v>
      </c>
      <c r="K334" s="7">
        <v>27829</v>
      </c>
    </row>
    <row r="335" spans="1:11" x14ac:dyDescent="0.25">
      <c r="A335">
        <v>334</v>
      </c>
      <c r="B335" t="s">
        <v>2927</v>
      </c>
      <c r="C335" t="s">
        <v>75</v>
      </c>
      <c r="D335" t="s">
        <v>1600</v>
      </c>
      <c r="E335" s="7">
        <v>40391</v>
      </c>
      <c r="F335" t="s">
        <v>2928</v>
      </c>
      <c r="G335" t="s">
        <v>2929</v>
      </c>
      <c r="H335" t="s">
        <v>2930</v>
      </c>
      <c r="I335" t="s">
        <v>1634</v>
      </c>
      <c r="J335" t="s">
        <v>1663</v>
      </c>
      <c r="K335" s="7">
        <v>32940</v>
      </c>
    </row>
    <row r="336" spans="1:11" x14ac:dyDescent="0.25">
      <c r="A336">
        <v>335</v>
      </c>
      <c r="B336" t="s">
        <v>2931</v>
      </c>
      <c r="C336" t="s">
        <v>75</v>
      </c>
      <c r="D336" t="s">
        <v>1612</v>
      </c>
      <c r="E336" s="7">
        <v>40389</v>
      </c>
      <c r="F336" t="s">
        <v>2932</v>
      </c>
      <c r="G336" t="s">
        <v>2933</v>
      </c>
      <c r="H336" t="s">
        <v>2934</v>
      </c>
      <c r="I336" t="s">
        <v>1645</v>
      </c>
      <c r="J336" t="s">
        <v>467</v>
      </c>
      <c r="K336" s="7">
        <v>29814</v>
      </c>
    </row>
    <row r="337" spans="1:11" x14ac:dyDescent="0.25">
      <c r="A337">
        <v>336</v>
      </c>
      <c r="B337" t="s">
        <v>2935</v>
      </c>
      <c r="C337" t="s">
        <v>83</v>
      </c>
      <c r="D337" t="s">
        <v>1612</v>
      </c>
      <c r="E337" s="7">
        <v>42949</v>
      </c>
      <c r="F337" t="s">
        <v>2936</v>
      </c>
      <c r="G337" t="s">
        <v>2937</v>
      </c>
      <c r="H337" t="s">
        <v>2938</v>
      </c>
      <c r="I337" t="s">
        <v>1639</v>
      </c>
      <c r="J337" t="s">
        <v>1649</v>
      </c>
      <c r="K337" s="7">
        <v>27205</v>
      </c>
    </row>
    <row r="338" spans="1:11" x14ac:dyDescent="0.25">
      <c r="A338">
        <v>337</v>
      </c>
      <c r="B338" t="s">
        <v>2939</v>
      </c>
      <c r="C338" t="s">
        <v>83</v>
      </c>
      <c r="D338" t="s">
        <v>1610</v>
      </c>
      <c r="E338" s="7">
        <v>40743</v>
      </c>
      <c r="F338" t="s">
        <v>2940</v>
      </c>
      <c r="G338" t="s">
        <v>2941</v>
      </c>
      <c r="H338" t="s">
        <v>2942</v>
      </c>
      <c r="I338" t="s">
        <v>1645</v>
      </c>
      <c r="J338" t="s">
        <v>467</v>
      </c>
      <c r="K338" s="7">
        <v>34647</v>
      </c>
    </row>
    <row r="339" spans="1:11" x14ac:dyDescent="0.25">
      <c r="A339">
        <v>338</v>
      </c>
      <c r="B339" t="s">
        <v>2943</v>
      </c>
      <c r="C339" t="s">
        <v>75</v>
      </c>
      <c r="D339" t="s">
        <v>1600</v>
      </c>
      <c r="E339" s="7">
        <v>42436</v>
      </c>
      <c r="F339" t="s">
        <v>2944</v>
      </c>
      <c r="G339" t="s">
        <v>2945</v>
      </c>
      <c r="H339" t="s">
        <v>2946</v>
      </c>
      <c r="I339" t="s">
        <v>1738</v>
      </c>
      <c r="J339" t="s">
        <v>1640</v>
      </c>
      <c r="K339" s="7">
        <v>24600</v>
      </c>
    </row>
    <row r="340" spans="1:11" x14ac:dyDescent="0.25">
      <c r="A340">
        <v>339</v>
      </c>
      <c r="B340" t="s">
        <v>2947</v>
      </c>
      <c r="C340" t="s">
        <v>75</v>
      </c>
      <c r="D340" t="s">
        <v>1610</v>
      </c>
      <c r="E340" s="7">
        <v>40989</v>
      </c>
      <c r="F340" t="s">
        <v>2948</v>
      </c>
      <c r="G340" t="s">
        <v>2949</v>
      </c>
      <c r="H340" t="s">
        <v>2950</v>
      </c>
      <c r="I340" t="s">
        <v>1738</v>
      </c>
      <c r="J340" t="s">
        <v>1649</v>
      </c>
      <c r="K340" s="7">
        <v>32251</v>
      </c>
    </row>
    <row r="341" spans="1:11" x14ac:dyDescent="0.25">
      <c r="A341">
        <v>340</v>
      </c>
      <c r="B341" t="s">
        <v>2951</v>
      </c>
      <c r="C341" t="s">
        <v>75</v>
      </c>
      <c r="D341" t="s">
        <v>1604</v>
      </c>
      <c r="E341" s="7">
        <v>44433</v>
      </c>
      <c r="F341" t="s">
        <v>2952</v>
      </c>
      <c r="G341">
        <v>5065225937</v>
      </c>
      <c r="H341" t="s">
        <v>2953</v>
      </c>
      <c r="I341" t="s">
        <v>1645</v>
      </c>
      <c r="J341" t="s">
        <v>467</v>
      </c>
      <c r="K341" s="7">
        <v>27754</v>
      </c>
    </row>
    <row r="342" spans="1:11" x14ac:dyDescent="0.25">
      <c r="A342">
        <v>341</v>
      </c>
      <c r="B342" t="s">
        <v>2954</v>
      </c>
      <c r="C342" t="s">
        <v>83</v>
      </c>
      <c r="D342" t="s">
        <v>1600</v>
      </c>
      <c r="E342" s="7">
        <v>41112</v>
      </c>
      <c r="F342" t="s">
        <v>2955</v>
      </c>
      <c r="G342" t="s">
        <v>2956</v>
      </c>
      <c r="H342" t="s">
        <v>2957</v>
      </c>
      <c r="I342" t="s">
        <v>1645</v>
      </c>
      <c r="J342" t="s">
        <v>1640</v>
      </c>
      <c r="K342" s="7">
        <v>25717</v>
      </c>
    </row>
    <row r="343" spans="1:11" x14ac:dyDescent="0.25">
      <c r="A343">
        <v>342</v>
      </c>
      <c r="B343" t="s">
        <v>2958</v>
      </c>
      <c r="C343" t="s">
        <v>75</v>
      </c>
      <c r="D343" t="s">
        <v>1606</v>
      </c>
      <c r="E343" s="7">
        <v>44467</v>
      </c>
      <c r="F343" t="s">
        <v>2959</v>
      </c>
      <c r="G343" t="s">
        <v>2960</v>
      </c>
      <c r="H343" t="s">
        <v>2961</v>
      </c>
      <c r="I343" t="s">
        <v>1645</v>
      </c>
      <c r="J343" t="s">
        <v>1640</v>
      </c>
      <c r="K343" s="7">
        <v>35484</v>
      </c>
    </row>
    <row r="344" spans="1:11" x14ac:dyDescent="0.25">
      <c r="A344">
        <v>343</v>
      </c>
      <c r="B344" t="s">
        <v>2962</v>
      </c>
      <c r="C344" t="s">
        <v>75</v>
      </c>
      <c r="D344" t="s">
        <v>1606</v>
      </c>
      <c r="E344" s="7">
        <v>40085</v>
      </c>
      <c r="F344" t="s">
        <v>2963</v>
      </c>
      <c r="G344" t="s">
        <v>2964</v>
      </c>
      <c r="H344" t="s">
        <v>2965</v>
      </c>
      <c r="I344" t="s">
        <v>1738</v>
      </c>
      <c r="J344" t="s">
        <v>1640</v>
      </c>
      <c r="K344" s="7">
        <v>29991</v>
      </c>
    </row>
    <row r="345" spans="1:11" x14ac:dyDescent="0.25">
      <c r="A345">
        <v>344</v>
      </c>
      <c r="B345" t="s">
        <v>2966</v>
      </c>
      <c r="C345" t="s">
        <v>83</v>
      </c>
      <c r="D345" t="s">
        <v>1608</v>
      </c>
      <c r="E345" s="7">
        <v>39416</v>
      </c>
      <c r="F345" t="s">
        <v>2967</v>
      </c>
      <c r="G345">
        <v>2152747332</v>
      </c>
      <c r="H345" t="s">
        <v>2968</v>
      </c>
      <c r="I345" t="s">
        <v>1738</v>
      </c>
      <c r="J345" t="s">
        <v>1663</v>
      </c>
      <c r="K345" s="7">
        <v>29079</v>
      </c>
    </row>
    <row r="346" spans="1:11" x14ac:dyDescent="0.25">
      <c r="A346">
        <v>345</v>
      </c>
      <c r="B346" t="s">
        <v>1702</v>
      </c>
      <c r="C346" t="s">
        <v>75</v>
      </c>
      <c r="D346" t="s">
        <v>1602</v>
      </c>
      <c r="E346" s="7">
        <v>39947</v>
      </c>
      <c r="F346" t="s">
        <v>2969</v>
      </c>
      <c r="G346" t="s">
        <v>2970</v>
      </c>
      <c r="H346" t="s">
        <v>2971</v>
      </c>
      <c r="I346" t="s">
        <v>1634</v>
      </c>
      <c r="J346" t="s">
        <v>1640</v>
      </c>
      <c r="K346" s="7">
        <v>36538</v>
      </c>
    </row>
    <row r="347" spans="1:11" x14ac:dyDescent="0.25">
      <c r="A347">
        <v>346</v>
      </c>
      <c r="B347" t="s">
        <v>2972</v>
      </c>
      <c r="C347" t="s">
        <v>83</v>
      </c>
      <c r="D347" t="s">
        <v>1598</v>
      </c>
      <c r="E347" s="7">
        <v>45678</v>
      </c>
      <c r="F347" t="s">
        <v>2973</v>
      </c>
      <c r="G347" t="s">
        <v>2974</v>
      </c>
      <c r="H347" t="s">
        <v>2975</v>
      </c>
      <c r="I347" t="s">
        <v>1645</v>
      </c>
      <c r="J347" t="s">
        <v>467</v>
      </c>
      <c r="K347" s="7">
        <v>27060</v>
      </c>
    </row>
    <row r="348" spans="1:11" x14ac:dyDescent="0.25">
      <c r="A348">
        <v>347</v>
      </c>
      <c r="B348" t="s">
        <v>147</v>
      </c>
      <c r="C348" t="s">
        <v>83</v>
      </c>
      <c r="D348" t="s">
        <v>1602</v>
      </c>
      <c r="E348" s="7">
        <v>43578</v>
      </c>
      <c r="F348" t="s">
        <v>2976</v>
      </c>
      <c r="G348" t="s">
        <v>2977</v>
      </c>
      <c r="H348" t="s">
        <v>2978</v>
      </c>
      <c r="I348" t="s">
        <v>1634</v>
      </c>
      <c r="J348" t="s">
        <v>397</v>
      </c>
      <c r="K348" s="7">
        <v>34511</v>
      </c>
    </row>
    <row r="349" spans="1:11" x14ac:dyDescent="0.25">
      <c r="A349">
        <v>348</v>
      </c>
      <c r="B349" t="s">
        <v>2979</v>
      </c>
      <c r="C349" t="s">
        <v>83</v>
      </c>
      <c r="D349" t="s">
        <v>1614</v>
      </c>
      <c r="E349" s="7">
        <v>41727</v>
      </c>
      <c r="F349" t="s">
        <v>2980</v>
      </c>
      <c r="G349" t="s">
        <v>2981</v>
      </c>
      <c r="H349" t="s">
        <v>2982</v>
      </c>
      <c r="I349" t="s">
        <v>1634</v>
      </c>
      <c r="J349" t="s">
        <v>1663</v>
      </c>
      <c r="K349" s="7">
        <v>30618</v>
      </c>
    </row>
    <row r="350" spans="1:11" x14ac:dyDescent="0.25">
      <c r="A350">
        <v>349</v>
      </c>
      <c r="B350" t="s">
        <v>2983</v>
      </c>
      <c r="C350" t="s">
        <v>75</v>
      </c>
      <c r="D350" t="s">
        <v>1596</v>
      </c>
      <c r="E350" s="7">
        <v>40296</v>
      </c>
      <c r="F350" t="s">
        <v>2984</v>
      </c>
      <c r="G350" t="s">
        <v>2985</v>
      </c>
      <c r="H350" t="s">
        <v>2986</v>
      </c>
      <c r="I350" t="s">
        <v>1634</v>
      </c>
      <c r="J350" t="s">
        <v>467</v>
      </c>
      <c r="K350" s="7">
        <v>33330</v>
      </c>
    </row>
    <row r="351" spans="1:11" x14ac:dyDescent="0.25">
      <c r="A351">
        <v>350</v>
      </c>
      <c r="B351" t="s">
        <v>2987</v>
      </c>
      <c r="C351" t="s">
        <v>75</v>
      </c>
      <c r="D351" t="s">
        <v>1598</v>
      </c>
      <c r="E351" s="7">
        <v>45370</v>
      </c>
      <c r="F351" t="s">
        <v>2988</v>
      </c>
      <c r="G351" t="s">
        <v>2989</v>
      </c>
      <c r="H351" t="s">
        <v>2990</v>
      </c>
      <c r="I351" t="s">
        <v>1738</v>
      </c>
      <c r="J351" t="s">
        <v>1649</v>
      </c>
      <c r="K351" s="7">
        <v>36836</v>
      </c>
    </row>
    <row r="352" spans="1:11" x14ac:dyDescent="0.25">
      <c r="A352">
        <v>351</v>
      </c>
      <c r="B352" t="s">
        <v>2991</v>
      </c>
      <c r="C352" t="s">
        <v>83</v>
      </c>
      <c r="D352" t="s">
        <v>1614</v>
      </c>
      <c r="E352" s="7">
        <v>41714</v>
      </c>
      <c r="F352" t="s">
        <v>2992</v>
      </c>
      <c r="G352" t="s">
        <v>2993</v>
      </c>
      <c r="H352" t="s">
        <v>2994</v>
      </c>
      <c r="I352" t="s">
        <v>1634</v>
      </c>
      <c r="J352" t="s">
        <v>397</v>
      </c>
      <c r="K352" s="7">
        <v>35163</v>
      </c>
    </row>
    <row r="353" spans="1:11" x14ac:dyDescent="0.25">
      <c r="A353">
        <v>352</v>
      </c>
      <c r="B353" t="s">
        <v>2995</v>
      </c>
      <c r="C353" t="s">
        <v>75</v>
      </c>
      <c r="D353" t="s">
        <v>1614</v>
      </c>
      <c r="E353" s="7">
        <v>45313</v>
      </c>
      <c r="F353" t="s">
        <v>2996</v>
      </c>
      <c r="G353" t="s">
        <v>2997</v>
      </c>
      <c r="H353" t="s">
        <v>2998</v>
      </c>
      <c r="I353" t="s">
        <v>1654</v>
      </c>
      <c r="J353" t="s">
        <v>1663</v>
      </c>
      <c r="K353" s="7">
        <v>31924</v>
      </c>
    </row>
    <row r="354" spans="1:11" x14ac:dyDescent="0.25">
      <c r="A354">
        <v>353</v>
      </c>
      <c r="B354" t="s">
        <v>2999</v>
      </c>
      <c r="C354" t="s">
        <v>75</v>
      </c>
      <c r="D354" t="s">
        <v>1608</v>
      </c>
      <c r="E354" s="7">
        <v>38460</v>
      </c>
      <c r="F354" t="s">
        <v>3000</v>
      </c>
      <c r="G354" t="s">
        <v>3001</v>
      </c>
      <c r="H354" t="s">
        <v>3002</v>
      </c>
      <c r="I354" t="s">
        <v>1738</v>
      </c>
      <c r="J354" t="s">
        <v>467</v>
      </c>
      <c r="K354" s="7">
        <v>29531</v>
      </c>
    </row>
    <row r="355" spans="1:11" x14ac:dyDescent="0.25">
      <c r="A355">
        <v>354</v>
      </c>
      <c r="B355" t="s">
        <v>3003</v>
      </c>
      <c r="C355" t="s">
        <v>83</v>
      </c>
      <c r="D355" t="s">
        <v>1598</v>
      </c>
      <c r="E355" s="7">
        <v>42240</v>
      </c>
      <c r="F355" t="s">
        <v>3004</v>
      </c>
      <c r="G355" t="s">
        <v>3005</v>
      </c>
      <c r="H355" t="s">
        <v>3006</v>
      </c>
      <c r="I355" t="s">
        <v>1639</v>
      </c>
      <c r="J355" t="s">
        <v>1663</v>
      </c>
      <c r="K355" s="7">
        <v>35853</v>
      </c>
    </row>
    <row r="356" spans="1:11" x14ac:dyDescent="0.25">
      <c r="A356">
        <v>355</v>
      </c>
      <c r="B356" t="s">
        <v>3007</v>
      </c>
      <c r="C356" t="s">
        <v>83</v>
      </c>
      <c r="D356" t="s">
        <v>1602</v>
      </c>
      <c r="E356" s="7">
        <v>39400</v>
      </c>
      <c r="F356" t="s">
        <v>3008</v>
      </c>
      <c r="G356" t="s">
        <v>3009</v>
      </c>
      <c r="H356" t="s">
        <v>3010</v>
      </c>
      <c r="I356" t="s">
        <v>1654</v>
      </c>
      <c r="J356" t="s">
        <v>1640</v>
      </c>
      <c r="K356" s="7">
        <v>32068</v>
      </c>
    </row>
    <row r="357" spans="1:11" x14ac:dyDescent="0.25">
      <c r="A357">
        <v>356</v>
      </c>
      <c r="B357" t="s">
        <v>3011</v>
      </c>
      <c r="C357" t="s">
        <v>75</v>
      </c>
      <c r="D357" t="s">
        <v>1610</v>
      </c>
      <c r="E357" s="7">
        <v>39294</v>
      </c>
      <c r="F357" t="s">
        <v>3012</v>
      </c>
      <c r="G357" t="s">
        <v>3013</v>
      </c>
      <c r="H357" t="s">
        <v>3014</v>
      </c>
      <c r="I357" t="s">
        <v>1654</v>
      </c>
      <c r="J357" t="s">
        <v>467</v>
      </c>
      <c r="K357" s="7">
        <v>35211</v>
      </c>
    </row>
    <row r="358" spans="1:11" x14ac:dyDescent="0.25">
      <c r="A358">
        <v>357</v>
      </c>
      <c r="B358" t="s">
        <v>3015</v>
      </c>
      <c r="C358" t="s">
        <v>75</v>
      </c>
      <c r="D358" t="s">
        <v>1602</v>
      </c>
      <c r="E358" s="7">
        <v>38527</v>
      </c>
      <c r="F358" t="s">
        <v>3016</v>
      </c>
      <c r="G358" t="s">
        <v>3017</v>
      </c>
      <c r="H358" t="s">
        <v>3018</v>
      </c>
      <c r="I358" t="s">
        <v>1645</v>
      </c>
      <c r="J358" t="s">
        <v>1663</v>
      </c>
      <c r="K358" s="7">
        <v>32812</v>
      </c>
    </row>
    <row r="359" spans="1:11" x14ac:dyDescent="0.25">
      <c r="A359">
        <v>358</v>
      </c>
      <c r="B359" t="s">
        <v>3019</v>
      </c>
      <c r="C359" t="s">
        <v>75</v>
      </c>
      <c r="D359" t="s">
        <v>1606</v>
      </c>
      <c r="E359" s="7">
        <v>39856</v>
      </c>
      <c r="F359" t="s">
        <v>3020</v>
      </c>
      <c r="G359" t="s">
        <v>3021</v>
      </c>
      <c r="H359" t="s">
        <v>3022</v>
      </c>
      <c r="I359" t="s">
        <v>1639</v>
      </c>
      <c r="J359" t="s">
        <v>397</v>
      </c>
      <c r="K359" s="7">
        <v>25504</v>
      </c>
    </row>
    <row r="360" spans="1:11" x14ac:dyDescent="0.25">
      <c r="A360">
        <v>359</v>
      </c>
      <c r="B360" t="s">
        <v>3023</v>
      </c>
      <c r="C360" t="s">
        <v>75</v>
      </c>
      <c r="D360" t="s">
        <v>1612</v>
      </c>
      <c r="E360" s="7">
        <v>40004</v>
      </c>
      <c r="F360" t="s">
        <v>3024</v>
      </c>
      <c r="G360" t="s">
        <v>3025</v>
      </c>
      <c r="H360" t="s">
        <v>3026</v>
      </c>
      <c r="I360" t="s">
        <v>1639</v>
      </c>
      <c r="J360" t="s">
        <v>1649</v>
      </c>
      <c r="K360" s="7">
        <v>23503</v>
      </c>
    </row>
    <row r="361" spans="1:11" x14ac:dyDescent="0.25">
      <c r="A361">
        <v>360</v>
      </c>
      <c r="B361" t="s">
        <v>3027</v>
      </c>
      <c r="C361" t="s">
        <v>83</v>
      </c>
      <c r="D361" t="s">
        <v>1612</v>
      </c>
      <c r="E361" s="7">
        <v>43651</v>
      </c>
      <c r="F361" t="s">
        <v>3028</v>
      </c>
      <c r="G361" t="s">
        <v>3029</v>
      </c>
      <c r="H361" t="s">
        <v>3030</v>
      </c>
      <c r="I361" t="s">
        <v>1634</v>
      </c>
      <c r="J361" t="s">
        <v>1663</v>
      </c>
      <c r="K361" s="7">
        <v>29537</v>
      </c>
    </row>
    <row r="362" spans="1:11" x14ac:dyDescent="0.25">
      <c r="A362">
        <v>361</v>
      </c>
      <c r="B362" t="s">
        <v>3031</v>
      </c>
      <c r="C362" t="s">
        <v>75</v>
      </c>
      <c r="D362" t="s">
        <v>1600</v>
      </c>
      <c r="E362" s="7">
        <v>44333</v>
      </c>
      <c r="F362" t="s">
        <v>3032</v>
      </c>
      <c r="G362">
        <f>1-43-130-8944</f>
        <v>-9116</v>
      </c>
      <c r="H362" t="s">
        <v>3033</v>
      </c>
      <c r="I362" t="s">
        <v>1634</v>
      </c>
      <c r="J362" t="s">
        <v>1649</v>
      </c>
      <c r="K362" s="7">
        <v>28891</v>
      </c>
    </row>
    <row r="363" spans="1:11" x14ac:dyDescent="0.25">
      <c r="A363">
        <v>362</v>
      </c>
      <c r="B363" t="s">
        <v>3034</v>
      </c>
      <c r="C363" t="s">
        <v>75</v>
      </c>
      <c r="D363" t="s">
        <v>1600</v>
      </c>
      <c r="E363" s="7">
        <v>39174</v>
      </c>
      <c r="F363" t="s">
        <v>3035</v>
      </c>
      <c r="G363" t="s">
        <v>3036</v>
      </c>
      <c r="H363" t="s">
        <v>3037</v>
      </c>
      <c r="I363" t="s">
        <v>1634</v>
      </c>
      <c r="J363" t="s">
        <v>467</v>
      </c>
      <c r="K363" s="7">
        <v>27404</v>
      </c>
    </row>
    <row r="364" spans="1:11" x14ac:dyDescent="0.25">
      <c r="A364">
        <v>363</v>
      </c>
      <c r="B364" t="s">
        <v>3038</v>
      </c>
      <c r="C364" t="s">
        <v>83</v>
      </c>
      <c r="D364" t="s">
        <v>1596</v>
      </c>
      <c r="E364" s="7">
        <v>40151</v>
      </c>
      <c r="F364" t="s">
        <v>3039</v>
      </c>
      <c r="G364">
        <v>8733763593</v>
      </c>
      <c r="H364" t="s">
        <v>3040</v>
      </c>
      <c r="I364" t="s">
        <v>1634</v>
      </c>
      <c r="J364" t="s">
        <v>397</v>
      </c>
      <c r="K364" s="7">
        <v>29511</v>
      </c>
    </row>
    <row r="365" spans="1:11" x14ac:dyDescent="0.25">
      <c r="A365">
        <v>364</v>
      </c>
      <c r="B365" t="s">
        <v>3041</v>
      </c>
      <c r="C365" t="s">
        <v>75</v>
      </c>
      <c r="D365" t="s">
        <v>1610</v>
      </c>
      <c r="E365" s="7">
        <v>44341</v>
      </c>
      <c r="F365" t="s">
        <v>3042</v>
      </c>
      <c r="G365" t="s">
        <v>3043</v>
      </c>
      <c r="H365" t="s">
        <v>3044</v>
      </c>
      <c r="I365" t="s">
        <v>1634</v>
      </c>
      <c r="J365" t="s">
        <v>467</v>
      </c>
      <c r="K365" s="7">
        <v>26561</v>
      </c>
    </row>
    <row r="366" spans="1:11" x14ac:dyDescent="0.25">
      <c r="A366">
        <v>365</v>
      </c>
      <c r="B366" t="s">
        <v>3045</v>
      </c>
      <c r="C366" t="s">
        <v>75</v>
      </c>
      <c r="D366" t="s">
        <v>1608</v>
      </c>
      <c r="E366" s="7">
        <v>38471</v>
      </c>
      <c r="F366" t="s">
        <v>3046</v>
      </c>
      <c r="G366" t="s">
        <v>3047</v>
      </c>
      <c r="H366" t="s">
        <v>3048</v>
      </c>
      <c r="I366" t="s">
        <v>1634</v>
      </c>
      <c r="J366" t="s">
        <v>1640</v>
      </c>
      <c r="K366" s="7">
        <v>27339</v>
      </c>
    </row>
    <row r="367" spans="1:11" x14ac:dyDescent="0.25">
      <c r="A367">
        <v>366</v>
      </c>
      <c r="B367" t="s">
        <v>183</v>
      </c>
      <c r="C367" t="s">
        <v>83</v>
      </c>
      <c r="D367" t="s">
        <v>1602</v>
      </c>
      <c r="E367" s="7">
        <v>40603</v>
      </c>
      <c r="F367" t="s">
        <v>3049</v>
      </c>
      <c r="G367" t="s">
        <v>3050</v>
      </c>
      <c r="H367" t="s">
        <v>3051</v>
      </c>
      <c r="I367" t="s">
        <v>1654</v>
      </c>
      <c r="J367" t="s">
        <v>1640</v>
      </c>
      <c r="K367" s="7">
        <v>35424</v>
      </c>
    </row>
    <row r="368" spans="1:11" x14ac:dyDescent="0.25">
      <c r="A368">
        <v>367</v>
      </c>
      <c r="B368" t="s">
        <v>3052</v>
      </c>
      <c r="C368" t="s">
        <v>75</v>
      </c>
      <c r="D368" t="s">
        <v>1614</v>
      </c>
      <c r="E368" s="7">
        <v>43384</v>
      </c>
      <c r="F368" t="s">
        <v>3053</v>
      </c>
      <c r="G368" t="s">
        <v>3054</v>
      </c>
      <c r="H368" t="s">
        <v>3055</v>
      </c>
      <c r="I368" t="s">
        <v>1634</v>
      </c>
      <c r="J368" t="s">
        <v>397</v>
      </c>
      <c r="K368" s="7">
        <v>25705</v>
      </c>
    </row>
    <row r="369" spans="1:11" x14ac:dyDescent="0.25">
      <c r="A369">
        <v>368</v>
      </c>
      <c r="B369" t="s">
        <v>3056</v>
      </c>
      <c r="C369" t="s">
        <v>75</v>
      </c>
      <c r="D369" t="s">
        <v>1614</v>
      </c>
      <c r="E369" s="7">
        <v>38576</v>
      </c>
      <c r="F369" t="s">
        <v>3057</v>
      </c>
      <c r="G369">
        <v>796996325</v>
      </c>
      <c r="H369" t="s">
        <v>3058</v>
      </c>
      <c r="I369" t="s">
        <v>1738</v>
      </c>
      <c r="J369" t="s">
        <v>1663</v>
      </c>
      <c r="K369" s="7">
        <v>25117</v>
      </c>
    </row>
    <row r="370" spans="1:11" x14ac:dyDescent="0.25">
      <c r="A370">
        <v>369</v>
      </c>
      <c r="B370" t="s">
        <v>3059</v>
      </c>
      <c r="C370" t="s">
        <v>83</v>
      </c>
      <c r="D370" t="s">
        <v>1604</v>
      </c>
      <c r="E370" s="7">
        <v>40620</v>
      </c>
      <c r="F370" t="s">
        <v>3060</v>
      </c>
      <c r="G370" t="s">
        <v>3061</v>
      </c>
      <c r="H370" t="s">
        <v>3062</v>
      </c>
      <c r="I370" t="s">
        <v>1738</v>
      </c>
      <c r="J370" t="s">
        <v>1649</v>
      </c>
      <c r="K370" s="7">
        <v>23930</v>
      </c>
    </row>
    <row r="371" spans="1:11" x14ac:dyDescent="0.25">
      <c r="A371">
        <v>370</v>
      </c>
      <c r="B371" t="s">
        <v>3063</v>
      </c>
      <c r="C371" t="s">
        <v>75</v>
      </c>
      <c r="D371" t="s">
        <v>1612</v>
      </c>
      <c r="E371" s="7">
        <v>44839</v>
      </c>
      <c r="F371" t="s">
        <v>3064</v>
      </c>
      <c r="G371" t="s">
        <v>3065</v>
      </c>
      <c r="H371" t="s">
        <v>3066</v>
      </c>
      <c r="I371" t="s">
        <v>1738</v>
      </c>
      <c r="J371" t="s">
        <v>467</v>
      </c>
      <c r="K371" s="7">
        <v>31692</v>
      </c>
    </row>
    <row r="372" spans="1:11" x14ac:dyDescent="0.25">
      <c r="A372">
        <v>371</v>
      </c>
      <c r="B372" t="s">
        <v>3067</v>
      </c>
      <c r="C372" t="s">
        <v>83</v>
      </c>
      <c r="D372" t="s">
        <v>1600</v>
      </c>
      <c r="E372" s="7">
        <v>42033</v>
      </c>
      <c r="F372" t="s">
        <v>3068</v>
      </c>
      <c r="G372" t="s">
        <v>3069</v>
      </c>
      <c r="H372" t="s">
        <v>3070</v>
      </c>
      <c r="I372" t="s">
        <v>1639</v>
      </c>
      <c r="J372" t="s">
        <v>467</v>
      </c>
      <c r="K372" s="7">
        <v>27366</v>
      </c>
    </row>
    <row r="373" spans="1:11" x14ac:dyDescent="0.25">
      <c r="A373">
        <v>372</v>
      </c>
      <c r="B373" t="s">
        <v>3071</v>
      </c>
      <c r="C373" t="s">
        <v>75</v>
      </c>
      <c r="D373" t="s">
        <v>1598</v>
      </c>
      <c r="E373" s="7">
        <v>42138</v>
      </c>
      <c r="F373" t="s">
        <v>3072</v>
      </c>
      <c r="G373" t="s">
        <v>3073</v>
      </c>
      <c r="H373" t="s">
        <v>3074</v>
      </c>
      <c r="I373" t="s">
        <v>1645</v>
      </c>
      <c r="J373" t="s">
        <v>467</v>
      </c>
      <c r="K373" s="7">
        <v>35341</v>
      </c>
    </row>
    <row r="374" spans="1:11" x14ac:dyDescent="0.25">
      <c r="A374">
        <v>373</v>
      </c>
      <c r="B374" t="s">
        <v>3075</v>
      </c>
      <c r="C374" t="s">
        <v>75</v>
      </c>
      <c r="D374" t="s">
        <v>1608</v>
      </c>
      <c r="E374" s="7">
        <v>40958</v>
      </c>
      <c r="F374" t="s">
        <v>3076</v>
      </c>
      <c r="G374" t="s">
        <v>3077</v>
      </c>
      <c r="H374" t="s">
        <v>3078</v>
      </c>
      <c r="I374" t="s">
        <v>1645</v>
      </c>
      <c r="J374" t="s">
        <v>1640</v>
      </c>
      <c r="K374" s="7">
        <v>33526</v>
      </c>
    </row>
    <row r="375" spans="1:11" x14ac:dyDescent="0.25">
      <c r="A375">
        <v>374</v>
      </c>
      <c r="B375" t="s">
        <v>3079</v>
      </c>
      <c r="C375" t="s">
        <v>75</v>
      </c>
      <c r="D375" t="s">
        <v>1606</v>
      </c>
      <c r="E375" s="7">
        <v>39793</v>
      </c>
      <c r="F375" t="s">
        <v>3080</v>
      </c>
      <c r="G375" t="s">
        <v>3081</v>
      </c>
      <c r="H375" t="s">
        <v>3082</v>
      </c>
      <c r="I375" t="s">
        <v>1634</v>
      </c>
      <c r="J375" t="s">
        <v>1649</v>
      </c>
      <c r="K375" s="7">
        <v>29009</v>
      </c>
    </row>
    <row r="376" spans="1:11" x14ac:dyDescent="0.25">
      <c r="A376">
        <v>375</v>
      </c>
      <c r="B376" t="s">
        <v>3083</v>
      </c>
      <c r="C376" t="s">
        <v>75</v>
      </c>
      <c r="D376" t="s">
        <v>1604</v>
      </c>
      <c r="E376" s="7">
        <v>43889</v>
      </c>
      <c r="F376" t="s">
        <v>3084</v>
      </c>
      <c r="G376" t="s">
        <v>3085</v>
      </c>
      <c r="H376" t="s">
        <v>3086</v>
      </c>
      <c r="I376" t="s">
        <v>1639</v>
      </c>
      <c r="J376" t="s">
        <v>397</v>
      </c>
      <c r="K376" s="7">
        <v>36910</v>
      </c>
    </row>
    <row r="377" spans="1:11" x14ac:dyDescent="0.25">
      <c r="A377">
        <v>376</v>
      </c>
      <c r="B377" t="s">
        <v>3087</v>
      </c>
      <c r="C377" t="s">
        <v>75</v>
      </c>
      <c r="D377" t="s">
        <v>1608</v>
      </c>
      <c r="E377" s="7">
        <v>39046</v>
      </c>
      <c r="F377" t="s">
        <v>3088</v>
      </c>
      <c r="G377" t="s">
        <v>3089</v>
      </c>
      <c r="H377" t="s">
        <v>3090</v>
      </c>
      <c r="I377" t="s">
        <v>1634</v>
      </c>
      <c r="J377" t="s">
        <v>1640</v>
      </c>
      <c r="K377" s="7">
        <v>34079</v>
      </c>
    </row>
    <row r="378" spans="1:11" x14ac:dyDescent="0.25">
      <c r="A378">
        <v>377</v>
      </c>
      <c r="B378" t="s">
        <v>3091</v>
      </c>
      <c r="C378" t="s">
        <v>75</v>
      </c>
      <c r="D378" t="s">
        <v>1610</v>
      </c>
      <c r="E378" s="7">
        <v>43270</v>
      </c>
      <c r="F378" t="s">
        <v>3092</v>
      </c>
      <c r="G378" t="s">
        <v>3093</v>
      </c>
      <c r="H378" t="s">
        <v>3094</v>
      </c>
      <c r="I378" t="s">
        <v>1654</v>
      </c>
      <c r="J378" t="s">
        <v>1663</v>
      </c>
      <c r="K378" s="7">
        <v>33892</v>
      </c>
    </row>
    <row r="379" spans="1:11" x14ac:dyDescent="0.25">
      <c r="A379">
        <v>378</v>
      </c>
      <c r="B379" t="s">
        <v>3095</v>
      </c>
      <c r="C379" t="s">
        <v>75</v>
      </c>
      <c r="D379" t="s">
        <v>1604</v>
      </c>
      <c r="E379" s="7">
        <v>44947</v>
      </c>
      <c r="F379" t="s">
        <v>3096</v>
      </c>
      <c r="G379" t="s">
        <v>3097</v>
      </c>
      <c r="H379" t="s">
        <v>3098</v>
      </c>
      <c r="I379" t="s">
        <v>1654</v>
      </c>
      <c r="J379" t="s">
        <v>1640</v>
      </c>
      <c r="K379" s="7">
        <v>35924</v>
      </c>
    </row>
    <row r="380" spans="1:11" x14ac:dyDescent="0.25">
      <c r="A380">
        <v>379</v>
      </c>
      <c r="B380" t="s">
        <v>3099</v>
      </c>
      <c r="C380" t="s">
        <v>75</v>
      </c>
      <c r="D380" t="s">
        <v>1598</v>
      </c>
      <c r="E380" s="7">
        <v>45545</v>
      </c>
      <c r="F380" t="s">
        <v>3100</v>
      </c>
      <c r="G380" t="s">
        <v>3101</v>
      </c>
      <c r="H380" t="s">
        <v>3102</v>
      </c>
      <c r="I380" t="s">
        <v>1654</v>
      </c>
      <c r="J380" t="s">
        <v>1663</v>
      </c>
      <c r="K380" s="7">
        <v>24224</v>
      </c>
    </row>
    <row r="381" spans="1:11" x14ac:dyDescent="0.25">
      <c r="A381">
        <v>380</v>
      </c>
      <c r="B381" t="s">
        <v>3103</v>
      </c>
      <c r="C381" t="s">
        <v>83</v>
      </c>
      <c r="D381" t="s">
        <v>1610</v>
      </c>
      <c r="E381" s="7">
        <v>38989</v>
      </c>
      <c r="F381" t="s">
        <v>3104</v>
      </c>
      <c r="G381" t="s">
        <v>3105</v>
      </c>
      <c r="H381" t="s">
        <v>3106</v>
      </c>
      <c r="I381" t="s">
        <v>1645</v>
      </c>
      <c r="J381" t="s">
        <v>1640</v>
      </c>
      <c r="K381" s="7">
        <v>24339</v>
      </c>
    </row>
    <row r="382" spans="1:11" x14ac:dyDescent="0.25">
      <c r="A382">
        <v>381</v>
      </c>
      <c r="B382" t="s">
        <v>3107</v>
      </c>
      <c r="C382" t="s">
        <v>83</v>
      </c>
      <c r="D382" t="s">
        <v>1614</v>
      </c>
      <c r="E382" s="7">
        <v>39171</v>
      </c>
      <c r="F382" t="s">
        <v>3108</v>
      </c>
      <c r="G382" t="s">
        <v>3109</v>
      </c>
      <c r="H382" t="s">
        <v>3110</v>
      </c>
      <c r="I382" t="s">
        <v>1639</v>
      </c>
      <c r="J382" t="s">
        <v>467</v>
      </c>
      <c r="K382" s="7">
        <v>35077</v>
      </c>
    </row>
    <row r="383" spans="1:11" x14ac:dyDescent="0.25">
      <c r="A383">
        <v>382</v>
      </c>
      <c r="B383" t="s">
        <v>3111</v>
      </c>
      <c r="C383" t="s">
        <v>75</v>
      </c>
      <c r="D383" t="s">
        <v>1604</v>
      </c>
      <c r="E383" s="7">
        <v>41711</v>
      </c>
      <c r="F383" t="s">
        <v>3112</v>
      </c>
      <c r="G383" t="s">
        <v>3113</v>
      </c>
      <c r="H383" t="s">
        <v>3114</v>
      </c>
      <c r="I383" t="s">
        <v>1654</v>
      </c>
      <c r="J383" t="s">
        <v>1649</v>
      </c>
      <c r="K383" s="7">
        <v>32356</v>
      </c>
    </row>
    <row r="384" spans="1:11" x14ac:dyDescent="0.25">
      <c r="A384">
        <v>383</v>
      </c>
      <c r="B384" t="s">
        <v>3115</v>
      </c>
      <c r="C384" t="s">
        <v>83</v>
      </c>
      <c r="D384" t="s">
        <v>1610</v>
      </c>
      <c r="E384" s="7">
        <v>43629</v>
      </c>
      <c r="F384" t="s">
        <v>3116</v>
      </c>
      <c r="G384" t="s">
        <v>3117</v>
      </c>
      <c r="H384" t="s">
        <v>3118</v>
      </c>
      <c r="I384" t="s">
        <v>1634</v>
      </c>
      <c r="J384" t="s">
        <v>467</v>
      </c>
      <c r="K384" s="7">
        <v>33596</v>
      </c>
    </row>
    <row r="385" spans="1:11" x14ac:dyDescent="0.25">
      <c r="A385">
        <v>384</v>
      </c>
      <c r="B385" t="s">
        <v>3119</v>
      </c>
      <c r="C385" t="s">
        <v>83</v>
      </c>
      <c r="D385" t="s">
        <v>1606</v>
      </c>
      <c r="E385" s="7">
        <v>44502</v>
      </c>
      <c r="F385" t="s">
        <v>3120</v>
      </c>
      <c r="G385" t="s">
        <v>3121</v>
      </c>
      <c r="H385" t="s">
        <v>3122</v>
      </c>
      <c r="I385" t="s">
        <v>1738</v>
      </c>
      <c r="J385" t="s">
        <v>1663</v>
      </c>
      <c r="K385" s="7">
        <v>29487</v>
      </c>
    </row>
    <row r="386" spans="1:11" x14ac:dyDescent="0.25">
      <c r="A386">
        <v>385</v>
      </c>
      <c r="B386" t="s">
        <v>3123</v>
      </c>
      <c r="C386" t="s">
        <v>83</v>
      </c>
      <c r="D386" t="s">
        <v>1610</v>
      </c>
      <c r="E386" s="7">
        <v>39652</v>
      </c>
      <c r="F386" t="s">
        <v>3124</v>
      </c>
      <c r="G386" t="s">
        <v>3125</v>
      </c>
      <c r="H386" t="s">
        <v>3126</v>
      </c>
      <c r="I386" t="s">
        <v>1738</v>
      </c>
      <c r="J386" t="s">
        <v>397</v>
      </c>
      <c r="K386" s="7">
        <v>30789</v>
      </c>
    </row>
    <row r="387" spans="1:11" x14ac:dyDescent="0.25">
      <c r="A387">
        <v>386</v>
      </c>
      <c r="B387" t="s">
        <v>3127</v>
      </c>
      <c r="C387" t="s">
        <v>83</v>
      </c>
      <c r="D387" t="s">
        <v>1602</v>
      </c>
      <c r="E387" s="7">
        <v>39741</v>
      </c>
      <c r="F387" t="s">
        <v>3128</v>
      </c>
      <c r="G387" t="s">
        <v>3129</v>
      </c>
      <c r="H387" t="s">
        <v>3130</v>
      </c>
      <c r="I387" t="s">
        <v>1738</v>
      </c>
      <c r="J387" t="s">
        <v>1640</v>
      </c>
      <c r="K387" s="7">
        <v>37174</v>
      </c>
    </row>
    <row r="388" spans="1:11" x14ac:dyDescent="0.25">
      <c r="A388">
        <v>387</v>
      </c>
      <c r="B388" t="s">
        <v>3131</v>
      </c>
      <c r="C388" t="s">
        <v>75</v>
      </c>
      <c r="D388" t="s">
        <v>1608</v>
      </c>
      <c r="E388" s="7">
        <v>41056</v>
      </c>
      <c r="F388" t="s">
        <v>3132</v>
      </c>
      <c r="G388" t="s">
        <v>3133</v>
      </c>
      <c r="H388" t="s">
        <v>3134</v>
      </c>
      <c r="I388" t="s">
        <v>1738</v>
      </c>
      <c r="J388" t="s">
        <v>1663</v>
      </c>
      <c r="K388" s="7">
        <v>28975</v>
      </c>
    </row>
    <row r="389" spans="1:11" x14ac:dyDescent="0.25">
      <c r="A389">
        <v>388</v>
      </c>
      <c r="B389" t="s">
        <v>3135</v>
      </c>
      <c r="C389" t="s">
        <v>75</v>
      </c>
      <c r="D389" t="s">
        <v>1608</v>
      </c>
      <c r="E389" s="7">
        <v>45524</v>
      </c>
      <c r="F389" t="s">
        <v>3136</v>
      </c>
      <c r="G389" t="s">
        <v>3137</v>
      </c>
      <c r="H389" t="s">
        <v>3138</v>
      </c>
      <c r="I389" t="s">
        <v>1654</v>
      </c>
      <c r="J389" t="s">
        <v>397</v>
      </c>
      <c r="K389" s="7">
        <v>37251</v>
      </c>
    </row>
    <row r="390" spans="1:11" x14ac:dyDescent="0.25">
      <c r="A390">
        <v>389</v>
      </c>
      <c r="B390" t="s">
        <v>3139</v>
      </c>
      <c r="C390" t="s">
        <v>83</v>
      </c>
      <c r="D390" t="s">
        <v>1604</v>
      </c>
      <c r="E390" s="7">
        <v>42928</v>
      </c>
      <c r="F390" t="s">
        <v>3140</v>
      </c>
      <c r="G390" t="s">
        <v>3141</v>
      </c>
      <c r="H390" t="s">
        <v>3142</v>
      </c>
      <c r="I390" t="s">
        <v>1645</v>
      </c>
      <c r="J390" t="s">
        <v>1649</v>
      </c>
      <c r="K390" s="7">
        <v>35654</v>
      </c>
    </row>
    <row r="391" spans="1:11" x14ac:dyDescent="0.25">
      <c r="A391">
        <v>390</v>
      </c>
      <c r="B391" t="s">
        <v>3143</v>
      </c>
      <c r="C391" t="s">
        <v>75</v>
      </c>
      <c r="D391" t="s">
        <v>1598</v>
      </c>
      <c r="E391" s="7">
        <v>44092</v>
      </c>
      <c r="F391" t="s">
        <v>3144</v>
      </c>
      <c r="G391" t="s">
        <v>3145</v>
      </c>
      <c r="H391" t="s">
        <v>3146</v>
      </c>
      <c r="I391" t="s">
        <v>1645</v>
      </c>
      <c r="J391" t="s">
        <v>1663</v>
      </c>
      <c r="K391" s="7">
        <v>28704</v>
      </c>
    </row>
    <row r="392" spans="1:11" x14ac:dyDescent="0.25">
      <c r="A392">
        <v>391</v>
      </c>
      <c r="B392" t="s">
        <v>3147</v>
      </c>
      <c r="C392" t="s">
        <v>83</v>
      </c>
      <c r="D392" t="s">
        <v>1612</v>
      </c>
      <c r="E392" s="7">
        <v>40742</v>
      </c>
      <c r="F392" t="s">
        <v>3148</v>
      </c>
      <c r="G392" t="s">
        <v>3149</v>
      </c>
      <c r="H392" t="s">
        <v>3150</v>
      </c>
      <c r="I392" t="s">
        <v>1738</v>
      </c>
      <c r="J392" t="s">
        <v>467</v>
      </c>
      <c r="K392" s="7">
        <v>31906</v>
      </c>
    </row>
    <row r="393" spans="1:11" x14ac:dyDescent="0.25">
      <c r="A393">
        <v>392</v>
      </c>
      <c r="B393" t="s">
        <v>3151</v>
      </c>
      <c r="C393" t="s">
        <v>83</v>
      </c>
      <c r="D393" t="s">
        <v>1608</v>
      </c>
      <c r="E393" s="7">
        <v>41010</v>
      </c>
      <c r="F393" t="s">
        <v>3152</v>
      </c>
      <c r="G393" t="s">
        <v>3153</v>
      </c>
      <c r="H393" t="s">
        <v>3154</v>
      </c>
      <c r="I393" t="s">
        <v>1639</v>
      </c>
      <c r="J393" t="s">
        <v>1640</v>
      </c>
      <c r="K393" s="7">
        <v>36990</v>
      </c>
    </row>
    <row r="394" spans="1:11" x14ac:dyDescent="0.25">
      <c r="A394">
        <v>393</v>
      </c>
      <c r="B394" t="s">
        <v>3155</v>
      </c>
      <c r="C394" t="s">
        <v>83</v>
      </c>
      <c r="D394" t="s">
        <v>1598</v>
      </c>
      <c r="E394" s="7">
        <v>40731</v>
      </c>
      <c r="F394" t="s">
        <v>3156</v>
      </c>
      <c r="G394" t="s">
        <v>3157</v>
      </c>
      <c r="H394" t="s">
        <v>3158</v>
      </c>
      <c r="I394" t="s">
        <v>1654</v>
      </c>
      <c r="J394" t="s">
        <v>467</v>
      </c>
      <c r="K394" s="7">
        <v>23787</v>
      </c>
    </row>
    <row r="395" spans="1:11" x14ac:dyDescent="0.25">
      <c r="A395">
        <v>394</v>
      </c>
      <c r="B395" t="s">
        <v>3159</v>
      </c>
      <c r="C395" t="s">
        <v>83</v>
      </c>
      <c r="D395" t="s">
        <v>1610</v>
      </c>
      <c r="E395" s="7">
        <v>43639</v>
      </c>
      <c r="F395" t="s">
        <v>3160</v>
      </c>
      <c r="G395">
        <f>1-671-133-9692</f>
        <v>-10495</v>
      </c>
      <c r="H395" t="s">
        <v>3161</v>
      </c>
      <c r="I395" t="s">
        <v>1738</v>
      </c>
      <c r="J395" t="s">
        <v>397</v>
      </c>
      <c r="K395" s="7">
        <v>29594</v>
      </c>
    </row>
    <row r="396" spans="1:11" x14ac:dyDescent="0.25">
      <c r="A396">
        <v>395</v>
      </c>
      <c r="B396" t="s">
        <v>3162</v>
      </c>
      <c r="C396" t="s">
        <v>75</v>
      </c>
      <c r="D396" t="s">
        <v>1608</v>
      </c>
      <c r="E396" s="7">
        <v>39858</v>
      </c>
      <c r="F396" t="s">
        <v>3163</v>
      </c>
      <c r="G396">
        <f>1-765-847-3068</f>
        <v>-4679</v>
      </c>
      <c r="H396" t="s">
        <v>3164</v>
      </c>
      <c r="I396" t="s">
        <v>1654</v>
      </c>
      <c r="J396" t="s">
        <v>1663</v>
      </c>
      <c r="K396" s="7">
        <v>37258</v>
      </c>
    </row>
    <row r="397" spans="1:11" x14ac:dyDescent="0.25">
      <c r="A397">
        <v>396</v>
      </c>
      <c r="B397" t="s">
        <v>3165</v>
      </c>
      <c r="C397" t="s">
        <v>75</v>
      </c>
      <c r="D397" t="s">
        <v>1606</v>
      </c>
      <c r="E397" s="7">
        <v>39517</v>
      </c>
      <c r="F397" t="s">
        <v>3166</v>
      </c>
      <c r="G397">
        <v>5430240912</v>
      </c>
      <c r="H397" t="s">
        <v>3167</v>
      </c>
      <c r="I397" t="s">
        <v>1645</v>
      </c>
      <c r="J397" t="s">
        <v>1649</v>
      </c>
      <c r="K397" s="7">
        <v>36892</v>
      </c>
    </row>
    <row r="398" spans="1:11" x14ac:dyDescent="0.25">
      <c r="A398">
        <v>397</v>
      </c>
      <c r="B398" t="s">
        <v>3168</v>
      </c>
      <c r="C398" t="s">
        <v>83</v>
      </c>
      <c r="D398" t="s">
        <v>1606</v>
      </c>
      <c r="E398" s="7">
        <v>45144</v>
      </c>
      <c r="F398" t="s">
        <v>3169</v>
      </c>
      <c r="G398">
        <v>2106258751</v>
      </c>
      <c r="H398" t="s">
        <v>3170</v>
      </c>
      <c r="I398" t="s">
        <v>1634</v>
      </c>
      <c r="J398" t="s">
        <v>1649</v>
      </c>
      <c r="K398" s="7">
        <v>28052</v>
      </c>
    </row>
    <row r="399" spans="1:11" x14ac:dyDescent="0.25">
      <c r="A399">
        <v>398</v>
      </c>
      <c r="B399" t="s">
        <v>3171</v>
      </c>
      <c r="C399" t="s">
        <v>75</v>
      </c>
      <c r="D399" t="s">
        <v>1596</v>
      </c>
      <c r="E399" s="7">
        <v>45683</v>
      </c>
      <c r="F399" t="s">
        <v>3172</v>
      </c>
      <c r="G399" t="s">
        <v>3173</v>
      </c>
      <c r="H399" t="s">
        <v>3174</v>
      </c>
      <c r="I399" t="s">
        <v>1654</v>
      </c>
      <c r="J399" t="s">
        <v>397</v>
      </c>
      <c r="K399" s="7">
        <v>33500</v>
      </c>
    </row>
    <row r="400" spans="1:11" x14ac:dyDescent="0.25">
      <c r="A400">
        <v>399</v>
      </c>
      <c r="B400" t="s">
        <v>3175</v>
      </c>
      <c r="C400" t="s">
        <v>83</v>
      </c>
      <c r="D400" t="s">
        <v>1600</v>
      </c>
      <c r="E400" s="7">
        <v>42670</v>
      </c>
      <c r="F400" t="s">
        <v>3176</v>
      </c>
      <c r="G400">
        <f>1-965-470-2683</f>
        <v>-4117</v>
      </c>
      <c r="H400" t="s">
        <v>3177</v>
      </c>
      <c r="I400" t="s">
        <v>1639</v>
      </c>
      <c r="J400" t="s">
        <v>397</v>
      </c>
      <c r="K400" s="7">
        <v>36705</v>
      </c>
    </row>
    <row r="401" spans="1:11" x14ac:dyDescent="0.25">
      <c r="A401">
        <v>400</v>
      </c>
      <c r="B401" t="s">
        <v>3178</v>
      </c>
      <c r="C401" t="s">
        <v>75</v>
      </c>
      <c r="D401" t="s">
        <v>1600</v>
      </c>
      <c r="E401" s="7">
        <v>38792</v>
      </c>
      <c r="F401" t="s">
        <v>3179</v>
      </c>
      <c r="G401" t="s">
        <v>3180</v>
      </c>
      <c r="H401" t="s">
        <v>3181</v>
      </c>
      <c r="I401" t="s">
        <v>1654</v>
      </c>
      <c r="J401" t="s">
        <v>467</v>
      </c>
      <c r="K401" s="7">
        <v>32731</v>
      </c>
    </row>
    <row r="402" spans="1:11" x14ac:dyDescent="0.25">
      <c r="A402">
        <v>401</v>
      </c>
      <c r="B402" t="s">
        <v>3182</v>
      </c>
      <c r="C402" t="s">
        <v>83</v>
      </c>
      <c r="D402" t="s">
        <v>1604</v>
      </c>
      <c r="E402" s="7">
        <v>39447</v>
      </c>
      <c r="F402" t="s">
        <v>3183</v>
      </c>
      <c r="G402" t="s">
        <v>3184</v>
      </c>
      <c r="H402" t="s">
        <v>3185</v>
      </c>
      <c r="I402" t="s">
        <v>1645</v>
      </c>
      <c r="J402" t="s">
        <v>467</v>
      </c>
      <c r="K402" s="7">
        <v>25162</v>
      </c>
    </row>
    <row r="403" spans="1:11" x14ac:dyDescent="0.25">
      <c r="A403">
        <v>402</v>
      </c>
      <c r="B403" t="s">
        <v>3186</v>
      </c>
      <c r="C403" t="s">
        <v>75</v>
      </c>
      <c r="D403" t="s">
        <v>1608</v>
      </c>
      <c r="E403" s="7">
        <v>42219</v>
      </c>
      <c r="F403" t="s">
        <v>3187</v>
      </c>
      <c r="G403" t="s">
        <v>3188</v>
      </c>
      <c r="H403" t="s">
        <v>3189</v>
      </c>
      <c r="I403" t="s">
        <v>1639</v>
      </c>
      <c r="J403" t="s">
        <v>467</v>
      </c>
      <c r="K403" s="7">
        <v>27212</v>
      </c>
    </row>
    <row r="404" spans="1:11" x14ac:dyDescent="0.25">
      <c r="A404">
        <v>403</v>
      </c>
      <c r="B404" t="s">
        <v>3190</v>
      </c>
      <c r="C404" t="s">
        <v>83</v>
      </c>
      <c r="D404" t="s">
        <v>1610</v>
      </c>
      <c r="E404" s="7">
        <v>45569</v>
      </c>
      <c r="F404" t="s">
        <v>3191</v>
      </c>
      <c r="G404" t="s">
        <v>3192</v>
      </c>
      <c r="H404" t="s">
        <v>3193</v>
      </c>
      <c r="I404" t="s">
        <v>1738</v>
      </c>
      <c r="J404" t="s">
        <v>1649</v>
      </c>
      <c r="K404" s="7">
        <v>28949</v>
      </c>
    </row>
    <row r="405" spans="1:11" x14ac:dyDescent="0.25">
      <c r="A405">
        <v>404</v>
      </c>
      <c r="B405" t="s">
        <v>3194</v>
      </c>
      <c r="C405" t="s">
        <v>75</v>
      </c>
      <c r="D405" t="s">
        <v>1612</v>
      </c>
      <c r="E405" s="7">
        <v>39920</v>
      </c>
      <c r="F405" t="s">
        <v>3195</v>
      </c>
      <c r="G405" t="s">
        <v>3196</v>
      </c>
      <c r="H405" t="s">
        <v>3197</v>
      </c>
      <c r="I405" t="s">
        <v>1639</v>
      </c>
      <c r="J405" t="s">
        <v>1663</v>
      </c>
      <c r="K405" s="7">
        <v>27664</v>
      </c>
    </row>
    <row r="406" spans="1:11" x14ac:dyDescent="0.25">
      <c r="A406">
        <v>405</v>
      </c>
      <c r="B406" t="s">
        <v>3198</v>
      </c>
      <c r="C406" t="s">
        <v>83</v>
      </c>
      <c r="D406" t="s">
        <v>1596</v>
      </c>
      <c r="E406" s="7">
        <v>41112</v>
      </c>
      <c r="F406" t="s">
        <v>3199</v>
      </c>
      <c r="G406" t="s">
        <v>3200</v>
      </c>
      <c r="H406" t="s">
        <v>3201</v>
      </c>
      <c r="I406" t="s">
        <v>1634</v>
      </c>
      <c r="J406" t="s">
        <v>1663</v>
      </c>
      <c r="K406" s="7">
        <v>25679</v>
      </c>
    </row>
    <row r="407" spans="1:11" x14ac:dyDescent="0.25">
      <c r="A407">
        <v>406</v>
      </c>
      <c r="B407" t="s">
        <v>3202</v>
      </c>
      <c r="C407" t="s">
        <v>83</v>
      </c>
      <c r="D407" t="s">
        <v>1598</v>
      </c>
      <c r="E407" s="7">
        <v>42168</v>
      </c>
      <c r="F407" t="s">
        <v>3203</v>
      </c>
      <c r="G407" t="s">
        <v>3204</v>
      </c>
      <c r="H407" t="s">
        <v>3205</v>
      </c>
      <c r="I407" t="s">
        <v>1639</v>
      </c>
      <c r="J407" t="s">
        <v>1640</v>
      </c>
      <c r="K407" s="7">
        <v>24427</v>
      </c>
    </row>
    <row r="408" spans="1:11" x14ac:dyDescent="0.25">
      <c r="A408">
        <v>407</v>
      </c>
      <c r="B408" t="s">
        <v>3206</v>
      </c>
      <c r="C408" t="s">
        <v>75</v>
      </c>
      <c r="D408" t="s">
        <v>1612</v>
      </c>
      <c r="E408" s="7">
        <v>39718</v>
      </c>
      <c r="F408" t="s">
        <v>3207</v>
      </c>
      <c r="G408">
        <f>1-487-533-4277</f>
        <v>-5296</v>
      </c>
      <c r="H408" t="s">
        <v>3208</v>
      </c>
      <c r="I408" t="s">
        <v>1645</v>
      </c>
      <c r="J408" t="s">
        <v>467</v>
      </c>
      <c r="K408" s="7">
        <v>26553</v>
      </c>
    </row>
    <row r="409" spans="1:11" x14ac:dyDescent="0.25">
      <c r="A409">
        <v>408</v>
      </c>
      <c r="B409" t="s">
        <v>3209</v>
      </c>
      <c r="C409" t="s">
        <v>75</v>
      </c>
      <c r="D409" t="s">
        <v>1614</v>
      </c>
      <c r="E409" s="7">
        <v>42472</v>
      </c>
      <c r="F409" t="s">
        <v>3210</v>
      </c>
      <c r="G409" t="s">
        <v>3211</v>
      </c>
      <c r="H409" t="s">
        <v>3212</v>
      </c>
      <c r="I409" t="s">
        <v>1639</v>
      </c>
      <c r="J409" t="s">
        <v>1640</v>
      </c>
      <c r="K409" s="7">
        <v>24083</v>
      </c>
    </row>
    <row r="410" spans="1:11" x14ac:dyDescent="0.25">
      <c r="A410">
        <v>409</v>
      </c>
      <c r="B410" t="s">
        <v>3213</v>
      </c>
      <c r="C410" t="s">
        <v>83</v>
      </c>
      <c r="D410" t="s">
        <v>1612</v>
      </c>
      <c r="E410" s="7">
        <v>39119</v>
      </c>
      <c r="F410" t="s">
        <v>3214</v>
      </c>
      <c r="G410" t="s">
        <v>3215</v>
      </c>
      <c r="H410" t="s">
        <v>3216</v>
      </c>
      <c r="I410" t="s">
        <v>1738</v>
      </c>
      <c r="J410" t="s">
        <v>467</v>
      </c>
      <c r="K410" s="7">
        <v>33067</v>
      </c>
    </row>
    <row r="411" spans="1:11" x14ac:dyDescent="0.25">
      <c r="A411">
        <v>410</v>
      </c>
      <c r="B411" t="s">
        <v>3217</v>
      </c>
      <c r="C411" t="s">
        <v>75</v>
      </c>
      <c r="D411" t="s">
        <v>1598</v>
      </c>
      <c r="E411" s="7">
        <v>44662</v>
      </c>
      <c r="F411" t="s">
        <v>3218</v>
      </c>
      <c r="G411" t="s">
        <v>3219</v>
      </c>
      <c r="H411" t="s">
        <v>3220</v>
      </c>
      <c r="I411" t="s">
        <v>1654</v>
      </c>
      <c r="J411" t="s">
        <v>1640</v>
      </c>
      <c r="K411" s="7">
        <v>27872</v>
      </c>
    </row>
    <row r="412" spans="1:11" x14ac:dyDescent="0.25">
      <c r="A412">
        <v>411</v>
      </c>
      <c r="B412" t="s">
        <v>3221</v>
      </c>
      <c r="C412" t="s">
        <v>83</v>
      </c>
      <c r="D412" t="s">
        <v>1614</v>
      </c>
      <c r="E412" s="7">
        <v>42344</v>
      </c>
      <c r="F412" t="s">
        <v>3222</v>
      </c>
      <c r="G412" t="s">
        <v>3223</v>
      </c>
      <c r="H412" t="s">
        <v>3224</v>
      </c>
      <c r="I412" t="s">
        <v>1654</v>
      </c>
      <c r="J412" t="s">
        <v>397</v>
      </c>
      <c r="K412" s="7">
        <v>25037</v>
      </c>
    </row>
    <row r="413" spans="1:11" x14ac:dyDescent="0.25">
      <c r="A413">
        <v>412</v>
      </c>
      <c r="B413" t="s">
        <v>3225</v>
      </c>
      <c r="C413" t="s">
        <v>75</v>
      </c>
      <c r="D413" t="s">
        <v>1604</v>
      </c>
      <c r="E413" s="7">
        <v>42079</v>
      </c>
      <c r="F413" t="s">
        <v>3226</v>
      </c>
      <c r="G413" t="s">
        <v>3227</v>
      </c>
      <c r="H413" t="s">
        <v>3228</v>
      </c>
      <c r="I413" t="s">
        <v>1654</v>
      </c>
      <c r="J413" t="s">
        <v>1640</v>
      </c>
      <c r="K413" s="7">
        <v>26622</v>
      </c>
    </row>
    <row r="414" spans="1:11" x14ac:dyDescent="0.25">
      <c r="A414">
        <v>413</v>
      </c>
      <c r="B414" t="s">
        <v>3229</v>
      </c>
      <c r="C414" t="s">
        <v>83</v>
      </c>
      <c r="D414" t="s">
        <v>1600</v>
      </c>
      <c r="E414" s="7">
        <v>40883</v>
      </c>
      <c r="F414" t="s">
        <v>3230</v>
      </c>
      <c r="G414" t="s">
        <v>3231</v>
      </c>
      <c r="H414" t="s">
        <v>3232</v>
      </c>
      <c r="I414" t="s">
        <v>1738</v>
      </c>
      <c r="J414" t="s">
        <v>1640</v>
      </c>
      <c r="K414" s="7">
        <v>27440</v>
      </c>
    </row>
    <row r="415" spans="1:11" x14ac:dyDescent="0.25">
      <c r="A415">
        <v>414</v>
      </c>
      <c r="B415" t="s">
        <v>3233</v>
      </c>
      <c r="C415" t="s">
        <v>83</v>
      </c>
      <c r="D415" t="s">
        <v>1604</v>
      </c>
      <c r="E415" s="7">
        <v>39676</v>
      </c>
      <c r="F415" t="s">
        <v>3234</v>
      </c>
      <c r="G415" t="s">
        <v>3235</v>
      </c>
      <c r="H415" t="s">
        <v>3236</v>
      </c>
      <c r="I415" t="s">
        <v>1654</v>
      </c>
      <c r="J415" t="s">
        <v>1663</v>
      </c>
      <c r="K415" s="7">
        <v>33828</v>
      </c>
    </row>
    <row r="416" spans="1:11" x14ac:dyDescent="0.25">
      <c r="A416">
        <v>415</v>
      </c>
      <c r="B416" t="s">
        <v>3237</v>
      </c>
      <c r="C416" t="s">
        <v>83</v>
      </c>
      <c r="D416" t="s">
        <v>1604</v>
      </c>
      <c r="E416" s="7">
        <v>40931</v>
      </c>
      <c r="F416" t="s">
        <v>3238</v>
      </c>
      <c r="G416" t="s">
        <v>3239</v>
      </c>
      <c r="H416" t="s">
        <v>3240</v>
      </c>
      <c r="I416" t="s">
        <v>1645</v>
      </c>
      <c r="J416" t="s">
        <v>1640</v>
      </c>
      <c r="K416" s="7">
        <v>23663</v>
      </c>
    </row>
    <row r="417" spans="1:11" x14ac:dyDescent="0.25">
      <c r="A417">
        <v>416</v>
      </c>
      <c r="B417" t="s">
        <v>3241</v>
      </c>
      <c r="C417" t="s">
        <v>75</v>
      </c>
      <c r="D417" t="s">
        <v>1608</v>
      </c>
      <c r="E417" s="7">
        <v>38633</v>
      </c>
      <c r="F417" t="s">
        <v>3242</v>
      </c>
      <c r="G417" t="s">
        <v>3243</v>
      </c>
      <c r="H417" t="s">
        <v>3244</v>
      </c>
      <c r="I417" t="s">
        <v>1634</v>
      </c>
      <c r="J417" t="s">
        <v>1663</v>
      </c>
      <c r="K417" s="7">
        <v>25847</v>
      </c>
    </row>
    <row r="418" spans="1:11" x14ac:dyDescent="0.25">
      <c r="A418">
        <v>417</v>
      </c>
      <c r="B418" t="s">
        <v>3245</v>
      </c>
      <c r="C418" t="s">
        <v>83</v>
      </c>
      <c r="D418" t="s">
        <v>1608</v>
      </c>
      <c r="E418" s="7">
        <v>44507</v>
      </c>
      <c r="F418" t="s">
        <v>3246</v>
      </c>
      <c r="G418">
        <v>5133773950</v>
      </c>
      <c r="H418" t="s">
        <v>3247</v>
      </c>
      <c r="I418" t="s">
        <v>1634</v>
      </c>
      <c r="J418" t="s">
        <v>467</v>
      </c>
      <c r="K418" s="7">
        <v>25908</v>
      </c>
    </row>
    <row r="419" spans="1:11" x14ac:dyDescent="0.25">
      <c r="A419">
        <v>418</v>
      </c>
      <c r="B419" t="s">
        <v>3248</v>
      </c>
      <c r="C419" t="s">
        <v>75</v>
      </c>
      <c r="D419" t="s">
        <v>1598</v>
      </c>
      <c r="E419" s="7">
        <v>43504</v>
      </c>
      <c r="F419" t="s">
        <v>3249</v>
      </c>
      <c r="G419" t="s">
        <v>3250</v>
      </c>
      <c r="H419" t="s">
        <v>3251</v>
      </c>
      <c r="I419" t="s">
        <v>1738</v>
      </c>
      <c r="J419" t="s">
        <v>1640</v>
      </c>
      <c r="K419" s="7">
        <v>37607</v>
      </c>
    </row>
    <row r="420" spans="1:11" x14ac:dyDescent="0.25">
      <c r="A420">
        <v>419</v>
      </c>
      <c r="B420" t="s">
        <v>3252</v>
      </c>
      <c r="C420" t="s">
        <v>75</v>
      </c>
      <c r="D420" t="s">
        <v>1606</v>
      </c>
      <c r="E420" s="7">
        <v>39655</v>
      </c>
      <c r="F420" t="s">
        <v>3253</v>
      </c>
      <c r="G420" t="s">
        <v>3254</v>
      </c>
      <c r="H420" t="s">
        <v>3255</v>
      </c>
      <c r="I420" t="s">
        <v>1645</v>
      </c>
      <c r="J420" t="s">
        <v>1640</v>
      </c>
      <c r="K420" s="7">
        <v>33898</v>
      </c>
    </row>
    <row r="421" spans="1:11" x14ac:dyDescent="0.25">
      <c r="A421">
        <v>420</v>
      </c>
      <c r="B421" t="s">
        <v>3256</v>
      </c>
      <c r="C421" t="s">
        <v>83</v>
      </c>
      <c r="D421" t="s">
        <v>1614</v>
      </c>
      <c r="E421" s="7">
        <v>39053</v>
      </c>
      <c r="F421" t="s">
        <v>3257</v>
      </c>
      <c r="G421" t="s">
        <v>3258</v>
      </c>
      <c r="H421" t="s">
        <v>3259</v>
      </c>
      <c r="I421" t="s">
        <v>1738</v>
      </c>
      <c r="J421" t="s">
        <v>467</v>
      </c>
      <c r="K421" s="7">
        <v>32135</v>
      </c>
    </row>
    <row r="422" spans="1:11" x14ac:dyDescent="0.25">
      <c r="A422">
        <v>421</v>
      </c>
      <c r="B422" t="s">
        <v>3260</v>
      </c>
      <c r="C422" t="s">
        <v>83</v>
      </c>
      <c r="D422" t="s">
        <v>1598</v>
      </c>
      <c r="E422" s="7">
        <v>45374</v>
      </c>
      <c r="F422" t="s">
        <v>3261</v>
      </c>
      <c r="G422">
        <f>1-641-10-4911</f>
        <v>-5561</v>
      </c>
      <c r="H422" t="s">
        <v>3262</v>
      </c>
      <c r="I422" t="s">
        <v>1654</v>
      </c>
      <c r="J422" t="s">
        <v>1640</v>
      </c>
      <c r="K422" s="7">
        <v>34518</v>
      </c>
    </row>
    <row r="423" spans="1:11" x14ac:dyDescent="0.25">
      <c r="A423">
        <v>422</v>
      </c>
      <c r="B423" t="s">
        <v>3263</v>
      </c>
      <c r="C423" t="s">
        <v>75</v>
      </c>
      <c r="D423" t="s">
        <v>1600</v>
      </c>
      <c r="E423" s="7">
        <v>45213</v>
      </c>
      <c r="F423" t="s">
        <v>3264</v>
      </c>
      <c r="G423" t="s">
        <v>3265</v>
      </c>
      <c r="H423" t="s">
        <v>3266</v>
      </c>
      <c r="I423" t="s">
        <v>1645</v>
      </c>
      <c r="J423" t="s">
        <v>1649</v>
      </c>
      <c r="K423" s="7">
        <v>34342</v>
      </c>
    </row>
    <row r="424" spans="1:11" x14ac:dyDescent="0.25">
      <c r="A424">
        <v>423</v>
      </c>
      <c r="B424" t="s">
        <v>3267</v>
      </c>
      <c r="C424" t="s">
        <v>83</v>
      </c>
      <c r="D424" t="s">
        <v>1608</v>
      </c>
      <c r="E424" s="7">
        <v>41315</v>
      </c>
      <c r="F424" t="s">
        <v>3268</v>
      </c>
      <c r="G424" t="s">
        <v>3269</v>
      </c>
      <c r="H424" t="s">
        <v>3270</v>
      </c>
      <c r="I424" t="s">
        <v>1654</v>
      </c>
      <c r="J424" t="s">
        <v>1649</v>
      </c>
      <c r="K424" s="7">
        <v>37362</v>
      </c>
    </row>
    <row r="425" spans="1:11" x14ac:dyDescent="0.25">
      <c r="A425">
        <v>424</v>
      </c>
      <c r="B425" t="s">
        <v>3271</v>
      </c>
      <c r="C425" t="s">
        <v>83</v>
      </c>
      <c r="D425" t="s">
        <v>1600</v>
      </c>
      <c r="E425" s="7">
        <v>44572</v>
      </c>
      <c r="F425" t="s">
        <v>3272</v>
      </c>
      <c r="G425" t="s">
        <v>3273</v>
      </c>
      <c r="H425" t="s">
        <v>3274</v>
      </c>
      <c r="I425" t="s">
        <v>1645</v>
      </c>
      <c r="J425" t="s">
        <v>1663</v>
      </c>
      <c r="K425" s="7">
        <v>32721</v>
      </c>
    </row>
    <row r="426" spans="1:11" x14ac:dyDescent="0.25">
      <c r="A426">
        <v>425</v>
      </c>
      <c r="B426" t="s">
        <v>3275</v>
      </c>
      <c r="C426" t="s">
        <v>75</v>
      </c>
      <c r="D426" t="s">
        <v>1598</v>
      </c>
      <c r="E426" s="7">
        <v>43084</v>
      </c>
      <c r="F426" t="s">
        <v>3276</v>
      </c>
      <c r="G426" t="s">
        <v>3277</v>
      </c>
      <c r="H426" t="s">
        <v>3278</v>
      </c>
      <c r="I426" t="s">
        <v>1645</v>
      </c>
      <c r="J426" t="s">
        <v>467</v>
      </c>
      <c r="K426" s="7">
        <v>27336</v>
      </c>
    </row>
    <row r="427" spans="1:11" x14ac:dyDescent="0.25">
      <c r="A427">
        <v>426</v>
      </c>
      <c r="B427" t="s">
        <v>3279</v>
      </c>
      <c r="C427" t="s">
        <v>75</v>
      </c>
      <c r="D427" t="s">
        <v>1596</v>
      </c>
      <c r="E427" s="7">
        <v>39495</v>
      </c>
      <c r="F427" t="s">
        <v>3280</v>
      </c>
      <c r="G427">
        <v>9761500485</v>
      </c>
      <c r="H427" t="s">
        <v>3281</v>
      </c>
      <c r="I427" t="s">
        <v>1639</v>
      </c>
      <c r="J427" t="s">
        <v>1663</v>
      </c>
      <c r="K427" s="7">
        <v>29379</v>
      </c>
    </row>
    <row r="428" spans="1:11" x14ac:dyDescent="0.25">
      <c r="A428">
        <v>427</v>
      </c>
      <c r="B428" t="s">
        <v>3282</v>
      </c>
      <c r="C428" t="s">
        <v>75</v>
      </c>
      <c r="D428" t="s">
        <v>1614</v>
      </c>
      <c r="E428" s="7">
        <v>40977</v>
      </c>
      <c r="F428" t="s">
        <v>3283</v>
      </c>
      <c r="G428">
        <v>5518236782</v>
      </c>
      <c r="H428" t="s">
        <v>3284</v>
      </c>
      <c r="I428" t="s">
        <v>1645</v>
      </c>
      <c r="J428" t="s">
        <v>1640</v>
      </c>
      <c r="K428" s="7">
        <v>36628</v>
      </c>
    </row>
    <row r="429" spans="1:11" x14ac:dyDescent="0.25">
      <c r="A429">
        <v>428</v>
      </c>
      <c r="B429" t="s">
        <v>3285</v>
      </c>
      <c r="C429" t="s">
        <v>83</v>
      </c>
      <c r="D429" t="s">
        <v>1598</v>
      </c>
      <c r="E429" s="7">
        <v>42334</v>
      </c>
      <c r="F429" t="s">
        <v>3286</v>
      </c>
      <c r="G429" t="s">
        <v>3287</v>
      </c>
      <c r="H429" t="s">
        <v>3288</v>
      </c>
      <c r="I429" t="s">
        <v>1654</v>
      </c>
      <c r="J429" t="s">
        <v>1640</v>
      </c>
      <c r="K429" s="7">
        <v>25208</v>
      </c>
    </row>
    <row r="430" spans="1:11" x14ac:dyDescent="0.25">
      <c r="A430">
        <v>429</v>
      </c>
      <c r="B430" t="s">
        <v>3289</v>
      </c>
      <c r="C430" t="s">
        <v>75</v>
      </c>
      <c r="D430" t="s">
        <v>1614</v>
      </c>
      <c r="E430" s="7">
        <v>41634</v>
      </c>
      <c r="F430" t="s">
        <v>3290</v>
      </c>
      <c r="G430" t="s">
        <v>3291</v>
      </c>
      <c r="H430" t="s">
        <v>3292</v>
      </c>
      <c r="I430" t="s">
        <v>1645</v>
      </c>
      <c r="J430" t="s">
        <v>397</v>
      </c>
      <c r="K430" s="7">
        <v>23615</v>
      </c>
    </row>
    <row r="431" spans="1:11" x14ac:dyDescent="0.25">
      <c r="A431">
        <v>430</v>
      </c>
      <c r="B431" t="s">
        <v>3293</v>
      </c>
      <c r="C431" t="s">
        <v>83</v>
      </c>
      <c r="D431" t="s">
        <v>1614</v>
      </c>
      <c r="E431" s="7">
        <v>39973</v>
      </c>
      <c r="F431" t="s">
        <v>3294</v>
      </c>
      <c r="G431" t="s">
        <v>3295</v>
      </c>
      <c r="H431" t="s">
        <v>3296</v>
      </c>
      <c r="I431" t="s">
        <v>1634</v>
      </c>
      <c r="J431" t="s">
        <v>1649</v>
      </c>
      <c r="K431" s="7">
        <v>30679</v>
      </c>
    </row>
    <row r="432" spans="1:11" x14ac:dyDescent="0.25">
      <c r="A432">
        <v>431</v>
      </c>
      <c r="B432" t="s">
        <v>3297</v>
      </c>
      <c r="C432" t="s">
        <v>83</v>
      </c>
      <c r="D432" t="s">
        <v>1608</v>
      </c>
      <c r="E432" s="7">
        <v>42560</v>
      </c>
      <c r="F432" t="s">
        <v>3298</v>
      </c>
      <c r="G432" t="s">
        <v>3299</v>
      </c>
      <c r="H432" t="s">
        <v>3300</v>
      </c>
      <c r="I432" t="s">
        <v>1639</v>
      </c>
      <c r="J432" t="s">
        <v>397</v>
      </c>
      <c r="K432" s="7">
        <v>26835</v>
      </c>
    </row>
    <row r="433" spans="1:11" x14ac:dyDescent="0.25">
      <c r="A433">
        <v>432</v>
      </c>
      <c r="B433" t="s">
        <v>3301</v>
      </c>
      <c r="C433" t="s">
        <v>75</v>
      </c>
      <c r="D433" t="s">
        <v>1596</v>
      </c>
      <c r="E433" s="7">
        <v>41448</v>
      </c>
      <c r="F433" t="s">
        <v>3302</v>
      </c>
      <c r="G433" t="s">
        <v>3303</v>
      </c>
      <c r="H433" t="s">
        <v>3304</v>
      </c>
      <c r="I433" t="s">
        <v>1645</v>
      </c>
      <c r="J433" t="s">
        <v>467</v>
      </c>
      <c r="K433" s="7">
        <v>30451</v>
      </c>
    </row>
    <row r="434" spans="1:11" x14ac:dyDescent="0.25">
      <c r="A434">
        <v>433</v>
      </c>
      <c r="B434" t="s">
        <v>3305</v>
      </c>
      <c r="C434" t="s">
        <v>75</v>
      </c>
      <c r="D434" t="s">
        <v>1608</v>
      </c>
      <c r="E434" s="7">
        <v>43471</v>
      </c>
      <c r="F434" t="s">
        <v>3306</v>
      </c>
      <c r="G434" t="s">
        <v>3307</v>
      </c>
      <c r="H434" t="s">
        <v>3308</v>
      </c>
      <c r="I434" t="s">
        <v>1654</v>
      </c>
      <c r="J434" t="s">
        <v>467</v>
      </c>
      <c r="K434" s="7">
        <v>25188</v>
      </c>
    </row>
    <row r="435" spans="1:11" x14ac:dyDescent="0.25">
      <c r="A435">
        <v>434</v>
      </c>
      <c r="B435" t="s">
        <v>3309</v>
      </c>
      <c r="C435" t="s">
        <v>75</v>
      </c>
      <c r="D435" t="s">
        <v>1610</v>
      </c>
      <c r="E435" s="7">
        <v>45056</v>
      </c>
      <c r="F435" t="s">
        <v>3310</v>
      </c>
      <c r="G435" t="s">
        <v>3311</v>
      </c>
      <c r="H435" t="s">
        <v>3312</v>
      </c>
      <c r="I435" t="s">
        <v>1639</v>
      </c>
      <c r="J435" t="s">
        <v>1640</v>
      </c>
      <c r="K435" s="7">
        <v>28972</v>
      </c>
    </row>
    <row r="436" spans="1:11" x14ac:dyDescent="0.25">
      <c r="A436">
        <v>435</v>
      </c>
      <c r="B436" t="s">
        <v>3313</v>
      </c>
      <c r="C436" t="s">
        <v>83</v>
      </c>
      <c r="D436" t="s">
        <v>1612</v>
      </c>
      <c r="E436" s="7">
        <v>45040</v>
      </c>
      <c r="F436" t="s">
        <v>3314</v>
      </c>
      <c r="G436" t="s">
        <v>3315</v>
      </c>
      <c r="H436" t="s">
        <v>3316</v>
      </c>
      <c r="I436" t="s">
        <v>1738</v>
      </c>
      <c r="J436" t="s">
        <v>1663</v>
      </c>
      <c r="K436" s="7">
        <v>33288</v>
      </c>
    </row>
    <row r="437" spans="1:11" x14ac:dyDescent="0.25">
      <c r="A437">
        <v>436</v>
      </c>
      <c r="B437" t="s">
        <v>3317</v>
      </c>
      <c r="C437" t="s">
        <v>75</v>
      </c>
      <c r="D437" t="s">
        <v>1598</v>
      </c>
      <c r="E437" s="7">
        <v>40708</v>
      </c>
      <c r="F437" t="s">
        <v>3318</v>
      </c>
      <c r="G437" t="s">
        <v>3319</v>
      </c>
      <c r="H437" t="s">
        <v>3320</v>
      </c>
      <c r="I437" t="s">
        <v>1634</v>
      </c>
      <c r="J437" t="s">
        <v>1649</v>
      </c>
      <c r="K437" s="7">
        <v>35105</v>
      </c>
    </row>
    <row r="438" spans="1:11" x14ac:dyDescent="0.25">
      <c r="A438">
        <v>437</v>
      </c>
      <c r="B438" t="s">
        <v>3321</v>
      </c>
      <c r="C438" t="s">
        <v>75</v>
      </c>
      <c r="D438" t="s">
        <v>1604</v>
      </c>
      <c r="E438" s="7">
        <v>43540</v>
      </c>
      <c r="F438" t="s">
        <v>3322</v>
      </c>
      <c r="G438" t="s">
        <v>3323</v>
      </c>
      <c r="H438" t="s">
        <v>3324</v>
      </c>
      <c r="I438" t="s">
        <v>1654</v>
      </c>
      <c r="J438" t="s">
        <v>1649</v>
      </c>
      <c r="K438" s="7">
        <v>28409</v>
      </c>
    </row>
    <row r="439" spans="1:11" x14ac:dyDescent="0.25">
      <c r="A439">
        <v>438</v>
      </c>
      <c r="B439" t="s">
        <v>3325</v>
      </c>
      <c r="C439" t="s">
        <v>75</v>
      </c>
      <c r="D439" t="s">
        <v>1604</v>
      </c>
      <c r="E439" s="7">
        <v>42786</v>
      </c>
      <c r="F439" t="s">
        <v>3326</v>
      </c>
      <c r="G439" t="s">
        <v>3327</v>
      </c>
      <c r="H439" t="s">
        <v>3328</v>
      </c>
      <c r="I439" t="s">
        <v>1654</v>
      </c>
      <c r="J439" t="s">
        <v>1640</v>
      </c>
      <c r="K439" s="7">
        <v>35539</v>
      </c>
    </row>
    <row r="440" spans="1:11" x14ac:dyDescent="0.25">
      <c r="A440">
        <v>439</v>
      </c>
      <c r="B440" t="s">
        <v>3329</v>
      </c>
      <c r="C440" t="s">
        <v>83</v>
      </c>
      <c r="D440" t="s">
        <v>1596</v>
      </c>
      <c r="E440" s="7">
        <v>40357</v>
      </c>
      <c r="F440" t="s">
        <v>3330</v>
      </c>
      <c r="G440" t="s">
        <v>3331</v>
      </c>
      <c r="H440" t="s">
        <v>3332</v>
      </c>
      <c r="I440" t="s">
        <v>1738</v>
      </c>
      <c r="J440" t="s">
        <v>467</v>
      </c>
      <c r="K440" s="7">
        <v>25192</v>
      </c>
    </row>
    <row r="441" spans="1:11" x14ac:dyDescent="0.25">
      <c r="A441">
        <v>440</v>
      </c>
      <c r="B441" t="s">
        <v>3168</v>
      </c>
      <c r="C441" t="s">
        <v>83</v>
      </c>
      <c r="D441" t="s">
        <v>1610</v>
      </c>
      <c r="E441" s="7">
        <v>45708</v>
      </c>
      <c r="F441" t="s">
        <v>3333</v>
      </c>
      <c r="G441" t="s">
        <v>3334</v>
      </c>
      <c r="H441" t="s">
        <v>3335</v>
      </c>
      <c r="I441" t="s">
        <v>1634</v>
      </c>
      <c r="J441" t="s">
        <v>1663</v>
      </c>
      <c r="K441" s="7">
        <v>32445</v>
      </c>
    </row>
    <row r="442" spans="1:11" x14ac:dyDescent="0.25">
      <c r="A442">
        <v>441</v>
      </c>
      <c r="B442" t="s">
        <v>3336</v>
      </c>
      <c r="C442" t="s">
        <v>75</v>
      </c>
      <c r="D442" t="s">
        <v>1596</v>
      </c>
      <c r="E442" s="7">
        <v>45717</v>
      </c>
      <c r="F442" t="s">
        <v>3337</v>
      </c>
      <c r="G442" t="s">
        <v>3338</v>
      </c>
      <c r="H442" t="s">
        <v>3339</v>
      </c>
      <c r="I442" t="s">
        <v>1654</v>
      </c>
      <c r="J442" t="s">
        <v>467</v>
      </c>
      <c r="K442" s="7">
        <v>30354</v>
      </c>
    </row>
    <row r="443" spans="1:11" x14ac:dyDescent="0.25">
      <c r="A443">
        <v>442</v>
      </c>
      <c r="B443" t="s">
        <v>3340</v>
      </c>
      <c r="C443" t="s">
        <v>75</v>
      </c>
      <c r="D443" t="s">
        <v>1604</v>
      </c>
      <c r="E443" s="7">
        <v>41368</v>
      </c>
      <c r="F443" t="s">
        <v>3341</v>
      </c>
      <c r="G443" t="s">
        <v>3342</v>
      </c>
      <c r="H443" t="s">
        <v>3343</v>
      </c>
      <c r="I443" t="s">
        <v>1738</v>
      </c>
      <c r="J443" t="s">
        <v>1663</v>
      </c>
      <c r="K443" s="7">
        <v>32397</v>
      </c>
    </row>
    <row r="444" spans="1:11" x14ac:dyDescent="0.25">
      <c r="A444">
        <v>443</v>
      </c>
      <c r="B444" t="s">
        <v>3344</v>
      </c>
      <c r="C444" t="s">
        <v>83</v>
      </c>
      <c r="D444" t="s">
        <v>1608</v>
      </c>
      <c r="E444" s="7">
        <v>44896</v>
      </c>
      <c r="F444" t="s">
        <v>3345</v>
      </c>
      <c r="G444" t="s">
        <v>3346</v>
      </c>
      <c r="H444" t="s">
        <v>3347</v>
      </c>
      <c r="I444" t="s">
        <v>1645</v>
      </c>
      <c r="J444" t="s">
        <v>467</v>
      </c>
      <c r="K444" s="7">
        <v>30341</v>
      </c>
    </row>
    <row r="445" spans="1:11" x14ac:dyDescent="0.25">
      <c r="A445">
        <v>444</v>
      </c>
      <c r="B445" t="s">
        <v>3348</v>
      </c>
      <c r="C445" t="s">
        <v>83</v>
      </c>
      <c r="D445" t="s">
        <v>1610</v>
      </c>
      <c r="E445" s="7">
        <v>45017</v>
      </c>
      <c r="F445" t="s">
        <v>3349</v>
      </c>
      <c r="G445" t="s">
        <v>3350</v>
      </c>
      <c r="H445" t="s">
        <v>3351</v>
      </c>
      <c r="I445" t="s">
        <v>1654</v>
      </c>
      <c r="J445" t="s">
        <v>467</v>
      </c>
      <c r="K445" s="7">
        <v>34700</v>
      </c>
    </row>
    <row r="446" spans="1:11" x14ac:dyDescent="0.25">
      <c r="A446">
        <v>445</v>
      </c>
      <c r="B446" t="s">
        <v>3352</v>
      </c>
      <c r="C446" t="s">
        <v>75</v>
      </c>
      <c r="D446" t="s">
        <v>1608</v>
      </c>
      <c r="E446" s="7">
        <v>38614</v>
      </c>
      <c r="F446" t="s">
        <v>3353</v>
      </c>
      <c r="G446" t="s">
        <v>3354</v>
      </c>
      <c r="H446" t="s">
        <v>3355</v>
      </c>
      <c r="I446" t="s">
        <v>1654</v>
      </c>
      <c r="J446" t="s">
        <v>1663</v>
      </c>
      <c r="K446" s="7">
        <v>35923</v>
      </c>
    </row>
    <row r="447" spans="1:11" x14ac:dyDescent="0.25">
      <c r="A447">
        <v>446</v>
      </c>
      <c r="B447" t="s">
        <v>3356</v>
      </c>
      <c r="C447" t="s">
        <v>83</v>
      </c>
      <c r="D447" t="s">
        <v>1604</v>
      </c>
      <c r="E447" s="7">
        <v>38784</v>
      </c>
      <c r="F447" t="s">
        <v>3357</v>
      </c>
      <c r="G447" t="s">
        <v>3358</v>
      </c>
      <c r="H447" t="s">
        <v>3359</v>
      </c>
      <c r="I447" t="s">
        <v>1634</v>
      </c>
      <c r="J447" t="s">
        <v>1663</v>
      </c>
      <c r="K447" s="7">
        <v>34526</v>
      </c>
    </row>
    <row r="448" spans="1:11" x14ac:dyDescent="0.25">
      <c r="A448">
        <v>447</v>
      </c>
      <c r="B448" t="s">
        <v>3360</v>
      </c>
      <c r="C448" t="s">
        <v>83</v>
      </c>
      <c r="D448" t="s">
        <v>1598</v>
      </c>
      <c r="E448" s="7">
        <v>43832</v>
      </c>
      <c r="F448" t="s">
        <v>3361</v>
      </c>
      <c r="G448" t="s">
        <v>3362</v>
      </c>
      <c r="H448" t="s">
        <v>3363</v>
      </c>
      <c r="I448" t="s">
        <v>1634</v>
      </c>
      <c r="J448" t="s">
        <v>397</v>
      </c>
      <c r="K448" s="7">
        <v>35635</v>
      </c>
    </row>
    <row r="449" spans="1:11" x14ac:dyDescent="0.25">
      <c r="A449">
        <v>448</v>
      </c>
      <c r="B449" t="s">
        <v>3364</v>
      </c>
      <c r="C449" t="s">
        <v>75</v>
      </c>
      <c r="D449" t="s">
        <v>1608</v>
      </c>
      <c r="E449" s="7">
        <v>40934</v>
      </c>
      <c r="F449" t="s">
        <v>3365</v>
      </c>
      <c r="G449" t="s">
        <v>3366</v>
      </c>
      <c r="H449" t="s">
        <v>3367</v>
      </c>
      <c r="I449" t="s">
        <v>1634</v>
      </c>
      <c r="J449" t="s">
        <v>467</v>
      </c>
      <c r="K449" s="7">
        <v>36776</v>
      </c>
    </row>
    <row r="450" spans="1:11" x14ac:dyDescent="0.25">
      <c r="A450">
        <v>449</v>
      </c>
      <c r="B450" t="s">
        <v>3368</v>
      </c>
      <c r="C450" t="s">
        <v>83</v>
      </c>
      <c r="D450" t="s">
        <v>1598</v>
      </c>
      <c r="E450" s="7">
        <v>40648</v>
      </c>
      <c r="F450" t="s">
        <v>3369</v>
      </c>
      <c r="G450" t="s">
        <v>3370</v>
      </c>
      <c r="H450" t="s">
        <v>3371</v>
      </c>
      <c r="I450" t="s">
        <v>1738</v>
      </c>
      <c r="J450" t="s">
        <v>1663</v>
      </c>
      <c r="K450" s="7">
        <v>32773</v>
      </c>
    </row>
    <row r="451" spans="1:11" x14ac:dyDescent="0.25">
      <c r="A451">
        <v>450</v>
      </c>
      <c r="B451" t="s">
        <v>3372</v>
      </c>
      <c r="C451" t="s">
        <v>75</v>
      </c>
      <c r="D451" t="s">
        <v>1614</v>
      </c>
      <c r="E451" s="7">
        <v>43668</v>
      </c>
      <c r="F451" t="s">
        <v>3373</v>
      </c>
      <c r="G451" t="s">
        <v>3374</v>
      </c>
      <c r="H451" t="s">
        <v>3375</v>
      </c>
      <c r="I451" t="s">
        <v>1639</v>
      </c>
      <c r="J451" t="s">
        <v>467</v>
      </c>
      <c r="K451" s="7">
        <v>26561</v>
      </c>
    </row>
    <row r="452" spans="1:11" x14ac:dyDescent="0.25">
      <c r="A452">
        <v>451</v>
      </c>
      <c r="B452" t="s">
        <v>3376</v>
      </c>
      <c r="C452" t="s">
        <v>83</v>
      </c>
      <c r="D452" t="s">
        <v>1602</v>
      </c>
      <c r="E452" s="7">
        <v>40003</v>
      </c>
      <c r="F452" t="s">
        <v>3377</v>
      </c>
      <c r="G452" t="s">
        <v>3378</v>
      </c>
      <c r="H452" t="s">
        <v>3379</v>
      </c>
      <c r="I452" t="s">
        <v>1634</v>
      </c>
      <c r="J452" t="s">
        <v>1640</v>
      </c>
      <c r="K452" s="7">
        <v>31441</v>
      </c>
    </row>
    <row r="453" spans="1:11" x14ac:dyDescent="0.25">
      <c r="A453">
        <v>452</v>
      </c>
      <c r="B453" t="s">
        <v>3380</v>
      </c>
      <c r="C453" t="s">
        <v>75</v>
      </c>
      <c r="D453" t="s">
        <v>1604</v>
      </c>
      <c r="E453" s="7">
        <v>45005</v>
      </c>
      <c r="F453" t="s">
        <v>3381</v>
      </c>
      <c r="G453" t="s">
        <v>3382</v>
      </c>
      <c r="H453" t="s">
        <v>3383</v>
      </c>
      <c r="I453" t="s">
        <v>1645</v>
      </c>
      <c r="J453" t="s">
        <v>397</v>
      </c>
      <c r="K453" s="7">
        <v>32541</v>
      </c>
    </row>
    <row r="454" spans="1:11" x14ac:dyDescent="0.25">
      <c r="A454">
        <v>453</v>
      </c>
      <c r="B454" t="s">
        <v>3384</v>
      </c>
      <c r="C454" t="s">
        <v>75</v>
      </c>
      <c r="D454" t="s">
        <v>1608</v>
      </c>
      <c r="E454" s="7">
        <v>41493</v>
      </c>
      <c r="F454" t="s">
        <v>3385</v>
      </c>
      <c r="G454" t="s">
        <v>3386</v>
      </c>
      <c r="H454" t="s">
        <v>3387</v>
      </c>
      <c r="I454" t="s">
        <v>1634</v>
      </c>
      <c r="J454" t="s">
        <v>467</v>
      </c>
      <c r="K454" s="7">
        <v>26628</v>
      </c>
    </row>
    <row r="455" spans="1:11" x14ac:dyDescent="0.25">
      <c r="A455">
        <v>454</v>
      </c>
      <c r="B455" t="s">
        <v>3388</v>
      </c>
      <c r="C455" t="s">
        <v>83</v>
      </c>
      <c r="D455" t="s">
        <v>1606</v>
      </c>
      <c r="E455" s="7">
        <v>42262</v>
      </c>
      <c r="F455" t="s">
        <v>3389</v>
      </c>
      <c r="G455" t="s">
        <v>3390</v>
      </c>
      <c r="H455" t="s">
        <v>3391</v>
      </c>
      <c r="I455" t="s">
        <v>1654</v>
      </c>
      <c r="J455" t="s">
        <v>1663</v>
      </c>
      <c r="K455" s="7">
        <v>25921</v>
      </c>
    </row>
    <row r="456" spans="1:11" x14ac:dyDescent="0.25">
      <c r="A456">
        <v>455</v>
      </c>
      <c r="B456" t="s">
        <v>3392</v>
      </c>
      <c r="C456" t="s">
        <v>83</v>
      </c>
      <c r="D456" t="s">
        <v>1614</v>
      </c>
      <c r="E456" s="7">
        <v>39967</v>
      </c>
      <c r="F456" t="s">
        <v>3393</v>
      </c>
      <c r="G456" t="s">
        <v>3394</v>
      </c>
      <c r="H456" t="s">
        <v>3395</v>
      </c>
      <c r="I456" t="s">
        <v>1654</v>
      </c>
      <c r="J456" t="s">
        <v>1663</v>
      </c>
      <c r="K456" s="7">
        <v>35141</v>
      </c>
    </row>
    <row r="457" spans="1:11" x14ac:dyDescent="0.25">
      <c r="A457">
        <v>456</v>
      </c>
      <c r="B457" t="s">
        <v>3396</v>
      </c>
      <c r="C457" t="s">
        <v>83</v>
      </c>
      <c r="D457" t="s">
        <v>1604</v>
      </c>
      <c r="E457" s="7">
        <v>43447</v>
      </c>
      <c r="F457" t="s">
        <v>3397</v>
      </c>
      <c r="G457" t="s">
        <v>3398</v>
      </c>
      <c r="H457" t="s">
        <v>3399</v>
      </c>
      <c r="I457" t="s">
        <v>1645</v>
      </c>
      <c r="J457" t="s">
        <v>1663</v>
      </c>
      <c r="K457" s="7">
        <v>36464</v>
      </c>
    </row>
    <row r="458" spans="1:11" x14ac:dyDescent="0.25">
      <c r="A458">
        <v>457</v>
      </c>
      <c r="B458" t="s">
        <v>3400</v>
      </c>
      <c r="C458" t="s">
        <v>83</v>
      </c>
      <c r="D458" t="s">
        <v>1600</v>
      </c>
      <c r="E458" s="7">
        <v>44024</v>
      </c>
      <c r="F458" t="s">
        <v>3401</v>
      </c>
      <c r="G458" t="s">
        <v>3402</v>
      </c>
      <c r="H458" t="s">
        <v>3403</v>
      </c>
      <c r="I458" t="s">
        <v>1654</v>
      </c>
      <c r="J458" t="s">
        <v>1663</v>
      </c>
      <c r="K458" s="7">
        <v>34694</v>
      </c>
    </row>
    <row r="459" spans="1:11" x14ac:dyDescent="0.25">
      <c r="A459">
        <v>458</v>
      </c>
      <c r="B459" t="s">
        <v>3404</v>
      </c>
      <c r="C459" t="s">
        <v>75</v>
      </c>
      <c r="D459" t="s">
        <v>1604</v>
      </c>
      <c r="E459" s="7">
        <v>38496</v>
      </c>
      <c r="F459" t="s">
        <v>3405</v>
      </c>
      <c r="G459">
        <v>2106720182</v>
      </c>
      <c r="H459" t="s">
        <v>3406</v>
      </c>
      <c r="I459" t="s">
        <v>1634</v>
      </c>
      <c r="J459" t="s">
        <v>1663</v>
      </c>
      <c r="K459" s="7">
        <v>27202</v>
      </c>
    </row>
    <row r="460" spans="1:11" x14ac:dyDescent="0.25">
      <c r="A460">
        <v>459</v>
      </c>
      <c r="B460" t="s">
        <v>3407</v>
      </c>
      <c r="C460" t="s">
        <v>75</v>
      </c>
      <c r="D460" t="s">
        <v>1606</v>
      </c>
      <c r="E460" s="7">
        <v>43097</v>
      </c>
      <c r="F460" t="s">
        <v>3408</v>
      </c>
      <c r="G460">
        <v>2798290401</v>
      </c>
      <c r="H460" t="s">
        <v>3409</v>
      </c>
      <c r="I460" t="s">
        <v>1634</v>
      </c>
      <c r="J460" t="s">
        <v>397</v>
      </c>
      <c r="K460" s="7">
        <v>26089</v>
      </c>
    </row>
    <row r="461" spans="1:11" x14ac:dyDescent="0.25">
      <c r="A461">
        <v>460</v>
      </c>
      <c r="B461" t="s">
        <v>3410</v>
      </c>
      <c r="C461" t="s">
        <v>75</v>
      </c>
      <c r="D461" t="s">
        <v>1614</v>
      </c>
      <c r="E461" s="7">
        <v>40462</v>
      </c>
      <c r="F461" t="s">
        <v>3411</v>
      </c>
      <c r="G461" t="s">
        <v>3412</v>
      </c>
      <c r="H461" t="s">
        <v>3413</v>
      </c>
      <c r="I461" t="s">
        <v>1654</v>
      </c>
      <c r="J461" t="s">
        <v>397</v>
      </c>
      <c r="K461" s="7">
        <v>37030</v>
      </c>
    </row>
    <row r="462" spans="1:11" x14ac:dyDescent="0.25">
      <c r="A462">
        <v>461</v>
      </c>
      <c r="B462" t="s">
        <v>3414</v>
      </c>
      <c r="C462" t="s">
        <v>83</v>
      </c>
      <c r="D462" t="s">
        <v>1604</v>
      </c>
      <c r="E462" s="7">
        <v>40123</v>
      </c>
      <c r="F462" t="s">
        <v>3415</v>
      </c>
      <c r="G462" t="s">
        <v>3416</v>
      </c>
      <c r="H462" t="s">
        <v>3417</v>
      </c>
      <c r="I462" t="s">
        <v>1634</v>
      </c>
      <c r="J462" t="s">
        <v>1663</v>
      </c>
      <c r="K462" s="7">
        <v>26586</v>
      </c>
    </row>
    <row r="463" spans="1:11" x14ac:dyDescent="0.25">
      <c r="A463">
        <v>462</v>
      </c>
      <c r="B463" t="s">
        <v>86</v>
      </c>
      <c r="C463" t="s">
        <v>83</v>
      </c>
      <c r="D463" t="s">
        <v>1608</v>
      </c>
      <c r="E463" s="7">
        <v>42488</v>
      </c>
      <c r="F463" t="s">
        <v>3418</v>
      </c>
      <c r="G463" t="s">
        <v>3419</v>
      </c>
      <c r="H463" t="s">
        <v>3420</v>
      </c>
      <c r="I463" t="s">
        <v>1645</v>
      </c>
      <c r="J463" t="s">
        <v>397</v>
      </c>
      <c r="K463" s="7">
        <v>34655</v>
      </c>
    </row>
    <row r="464" spans="1:11" x14ac:dyDescent="0.25">
      <c r="A464">
        <v>463</v>
      </c>
      <c r="B464" t="s">
        <v>3421</v>
      </c>
      <c r="C464" t="s">
        <v>83</v>
      </c>
      <c r="D464" t="s">
        <v>1610</v>
      </c>
      <c r="E464" s="7">
        <v>39674</v>
      </c>
      <c r="F464" t="s">
        <v>3422</v>
      </c>
      <c r="G464" t="s">
        <v>3423</v>
      </c>
      <c r="H464" t="s">
        <v>3424</v>
      </c>
      <c r="I464" t="s">
        <v>1634</v>
      </c>
      <c r="J464" t="s">
        <v>1663</v>
      </c>
      <c r="K464" s="7">
        <v>23566</v>
      </c>
    </row>
    <row r="465" spans="1:11" x14ac:dyDescent="0.25">
      <c r="A465">
        <v>464</v>
      </c>
      <c r="B465" t="s">
        <v>3425</v>
      </c>
      <c r="C465" t="s">
        <v>83</v>
      </c>
      <c r="D465" t="s">
        <v>1610</v>
      </c>
      <c r="E465" s="7">
        <v>40623</v>
      </c>
      <c r="F465" t="s">
        <v>3426</v>
      </c>
      <c r="G465" t="s">
        <v>3427</v>
      </c>
      <c r="H465" t="s">
        <v>3428</v>
      </c>
      <c r="I465" t="s">
        <v>1654</v>
      </c>
      <c r="J465" t="s">
        <v>397</v>
      </c>
      <c r="K465" s="7">
        <v>29718</v>
      </c>
    </row>
    <row r="466" spans="1:11" x14ac:dyDescent="0.25">
      <c r="A466">
        <v>465</v>
      </c>
      <c r="B466" t="s">
        <v>3429</v>
      </c>
      <c r="C466" t="s">
        <v>75</v>
      </c>
      <c r="D466" t="s">
        <v>1612</v>
      </c>
      <c r="E466" s="7">
        <v>39298</v>
      </c>
      <c r="F466" t="s">
        <v>3430</v>
      </c>
      <c r="G466" t="s">
        <v>3431</v>
      </c>
      <c r="H466" t="s">
        <v>3432</v>
      </c>
      <c r="I466" t="s">
        <v>1738</v>
      </c>
      <c r="J466" t="s">
        <v>1649</v>
      </c>
      <c r="K466" s="7">
        <v>26445</v>
      </c>
    </row>
    <row r="467" spans="1:11" x14ac:dyDescent="0.25">
      <c r="A467">
        <v>466</v>
      </c>
      <c r="B467" t="s">
        <v>3433</v>
      </c>
      <c r="C467" t="s">
        <v>83</v>
      </c>
      <c r="D467" t="s">
        <v>1610</v>
      </c>
      <c r="E467" s="7">
        <v>38962</v>
      </c>
      <c r="F467" t="s">
        <v>3434</v>
      </c>
      <c r="G467" t="s">
        <v>3435</v>
      </c>
      <c r="H467" t="s">
        <v>3436</v>
      </c>
      <c r="I467" t="s">
        <v>1634</v>
      </c>
      <c r="J467" t="s">
        <v>1640</v>
      </c>
      <c r="K467" s="7">
        <v>23593</v>
      </c>
    </row>
    <row r="468" spans="1:11" x14ac:dyDescent="0.25">
      <c r="A468">
        <v>467</v>
      </c>
      <c r="B468" t="s">
        <v>3437</v>
      </c>
      <c r="C468" t="s">
        <v>75</v>
      </c>
      <c r="D468" t="s">
        <v>1604</v>
      </c>
      <c r="E468" s="7">
        <v>41051</v>
      </c>
      <c r="F468" t="s">
        <v>3438</v>
      </c>
      <c r="G468" t="s">
        <v>3439</v>
      </c>
      <c r="H468" t="s">
        <v>3440</v>
      </c>
      <c r="I468" t="s">
        <v>1654</v>
      </c>
      <c r="J468" t="s">
        <v>1640</v>
      </c>
      <c r="K468" s="7">
        <v>36035</v>
      </c>
    </row>
    <row r="469" spans="1:11" x14ac:dyDescent="0.25">
      <c r="A469">
        <v>468</v>
      </c>
      <c r="B469" t="s">
        <v>3441</v>
      </c>
      <c r="C469" t="s">
        <v>83</v>
      </c>
      <c r="D469" t="s">
        <v>1604</v>
      </c>
      <c r="E469" s="7">
        <v>41434</v>
      </c>
      <c r="F469" t="s">
        <v>3442</v>
      </c>
      <c r="G469" t="s">
        <v>3443</v>
      </c>
      <c r="H469" t="s">
        <v>3444</v>
      </c>
      <c r="I469" t="s">
        <v>1634</v>
      </c>
      <c r="J469" t="s">
        <v>397</v>
      </c>
      <c r="K469" s="7">
        <v>31407</v>
      </c>
    </row>
    <row r="470" spans="1:11" x14ac:dyDescent="0.25">
      <c r="A470">
        <v>469</v>
      </c>
      <c r="B470" t="s">
        <v>3445</v>
      </c>
      <c r="C470" t="s">
        <v>75</v>
      </c>
      <c r="D470" t="s">
        <v>1602</v>
      </c>
      <c r="E470" s="7">
        <v>39219</v>
      </c>
      <c r="F470" t="s">
        <v>3446</v>
      </c>
      <c r="G470" t="s">
        <v>3447</v>
      </c>
      <c r="H470" t="s">
        <v>3448</v>
      </c>
      <c r="I470" t="s">
        <v>1634</v>
      </c>
      <c r="J470" t="s">
        <v>1640</v>
      </c>
      <c r="K470" s="7">
        <v>27480</v>
      </c>
    </row>
    <row r="471" spans="1:11" x14ac:dyDescent="0.25">
      <c r="A471">
        <v>470</v>
      </c>
      <c r="B471" t="s">
        <v>3449</v>
      </c>
      <c r="C471" t="s">
        <v>83</v>
      </c>
      <c r="D471" t="s">
        <v>1610</v>
      </c>
      <c r="E471" s="7">
        <v>44612</v>
      </c>
      <c r="F471" t="s">
        <v>3450</v>
      </c>
      <c r="G471" t="s">
        <v>3451</v>
      </c>
      <c r="H471" t="s">
        <v>3452</v>
      </c>
      <c r="I471" t="s">
        <v>1654</v>
      </c>
      <c r="J471" t="s">
        <v>467</v>
      </c>
      <c r="K471" s="7">
        <v>24991</v>
      </c>
    </row>
    <row r="472" spans="1:11" x14ac:dyDescent="0.25">
      <c r="A472">
        <v>471</v>
      </c>
      <c r="B472" t="s">
        <v>3453</v>
      </c>
      <c r="C472" t="s">
        <v>83</v>
      </c>
      <c r="D472" t="s">
        <v>1602</v>
      </c>
      <c r="E472" s="7">
        <v>45431</v>
      </c>
      <c r="F472" t="s">
        <v>3454</v>
      </c>
      <c r="G472" t="s">
        <v>3455</v>
      </c>
      <c r="H472" t="s">
        <v>3456</v>
      </c>
      <c r="I472" t="s">
        <v>1645</v>
      </c>
      <c r="J472" t="s">
        <v>1640</v>
      </c>
      <c r="K472" s="7">
        <v>29534</v>
      </c>
    </row>
    <row r="473" spans="1:11" x14ac:dyDescent="0.25">
      <c r="A473">
        <v>472</v>
      </c>
      <c r="B473" t="s">
        <v>3457</v>
      </c>
      <c r="C473" t="s">
        <v>75</v>
      </c>
      <c r="D473" t="s">
        <v>1598</v>
      </c>
      <c r="E473" s="7">
        <v>45594</v>
      </c>
      <c r="F473" t="s">
        <v>3458</v>
      </c>
      <c r="G473">
        <f>1-865-374-8273</f>
        <v>-9511</v>
      </c>
      <c r="H473" t="s">
        <v>3459</v>
      </c>
      <c r="I473" t="s">
        <v>1645</v>
      </c>
      <c r="J473" t="s">
        <v>467</v>
      </c>
      <c r="K473" s="7">
        <v>27152</v>
      </c>
    </row>
    <row r="474" spans="1:11" x14ac:dyDescent="0.25">
      <c r="A474">
        <v>473</v>
      </c>
      <c r="B474" t="s">
        <v>3460</v>
      </c>
      <c r="C474" t="s">
        <v>75</v>
      </c>
      <c r="D474" t="s">
        <v>1610</v>
      </c>
      <c r="E474" s="7">
        <v>39663</v>
      </c>
      <c r="F474" t="s">
        <v>3461</v>
      </c>
      <c r="G474" t="s">
        <v>3462</v>
      </c>
      <c r="H474" t="s">
        <v>3463</v>
      </c>
      <c r="I474" t="s">
        <v>1634</v>
      </c>
      <c r="J474" t="s">
        <v>1663</v>
      </c>
      <c r="K474" s="7">
        <v>23612</v>
      </c>
    </row>
    <row r="475" spans="1:11" x14ac:dyDescent="0.25">
      <c r="A475">
        <v>474</v>
      </c>
      <c r="B475" t="s">
        <v>3464</v>
      </c>
      <c r="C475" t="s">
        <v>83</v>
      </c>
      <c r="D475" t="s">
        <v>1614</v>
      </c>
      <c r="E475" s="7">
        <v>42699</v>
      </c>
      <c r="F475" t="s">
        <v>3465</v>
      </c>
      <c r="G475" t="s">
        <v>3466</v>
      </c>
      <c r="H475" t="s">
        <v>3467</v>
      </c>
      <c r="I475" t="s">
        <v>1645</v>
      </c>
      <c r="J475" t="s">
        <v>1663</v>
      </c>
      <c r="K475" s="7">
        <v>32231</v>
      </c>
    </row>
    <row r="476" spans="1:11" x14ac:dyDescent="0.25">
      <c r="A476">
        <v>475</v>
      </c>
      <c r="B476" t="s">
        <v>3468</v>
      </c>
      <c r="C476" t="s">
        <v>83</v>
      </c>
      <c r="D476" t="s">
        <v>1608</v>
      </c>
      <c r="E476" s="7">
        <v>41216</v>
      </c>
      <c r="F476" t="s">
        <v>3469</v>
      </c>
      <c r="G476" t="s">
        <v>3470</v>
      </c>
      <c r="H476" t="s">
        <v>3471</v>
      </c>
      <c r="I476" t="s">
        <v>1645</v>
      </c>
      <c r="J476" t="s">
        <v>397</v>
      </c>
      <c r="K476" s="7">
        <v>23769</v>
      </c>
    </row>
    <row r="477" spans="1:11" x14ac:dyDescent="0.25">
      <c r="A477">
        <v>476</v>
      </c>
      <c r="B477" t="s">
        <v>3472</v>
      </c>
      <c r="C477" t="s">
        <v>75</v>
      </c>
      <c r="D477" t="s">
        <v>1596</v>
      </c>
      <c r="E477" s="7">
        <v>40501</v>
      </c>
      <c r="F477" t="s">
        <v>3473</v>
      </c>
      <c r="G477" t="s">
        <v>3474</v>
      </c>
      <c r="H477" t="s">
        <v>3475</v>
      </c>
      <c r="I477" t="s">
        <v>1654</v>
      </c>
      <c r="J477" t="s">
        <v>1640</v>
      </c>
      <c r="K477" s="7">
        <v>33919</v>
      </c>
    </row>
    <row r="478" spans="1:11" x14ac:dyDescent="0.25">
      <c r="A478">
        <v>477</v>
      </c>
      <c r="B478" t="s">
        <v>3476</v>
      </c>
      <c r="C478" t="s">
        <v>75</v>
      </c>
      <c r="D478" t="s">
        <v>1598</v>
      </c>
      <c r="E478" s="7">
        <v>42987</v>
      </c>
      <c r="F478" t="s">
        <v>3477</v>
      </c>
      <c r="G478" t="s">
        <v>3478</v>
      </c>
      <c r="H478" t="s">
        <v>3479</v>
      </c>
      <c r="I478" t="s">
        <v>1654</v>
      </c>
      <c r="J478" t="s">
        <v>1649</v>
      </c>
      <c r="K478" s="7">
        <v>25578</v>
      </c>
    </row>
    <row r="479" spans="1:11" x14ac:dyDescent="0.25">
      <c r="A479">
        <v>478</v>
      </c>
      <c r="B479" t="s">
        <v>3480</v>
      </c>
      <c r="C479" t="s">
        <v>83</v>
      </c>
      <c r="D479" t="s">
        <v>1614</v>
      </c>
      <c r="E479" s="7">
        <v>41579</v>
      </c>
      <c r="F479" t="s">
        <v>3481</v>
      </c>
      <c r="G479" t="s">
        <v>3482</v>
      </c>
      <c r="H479" t="s">
        <v>3483</v>
      </c>
      <c r="I479" t="s">
        <v>1634</v>
      </c>
      <c r="J479" t="s">
        <v>1663</v>
      </c>
      <c r="K479" s="7">
        <v>35173</v>
      </c>
    </row>
    <row r="480" spans="1:11" x14ac:dyDescent="0.25">
      <c r="A480">
        <v>479</v>
      </c>
      <c r="B480" t="s">
        <v>3484</v>
      </c>
      <c r="C480" t="s">
        <v>75</v>
      </c>
      <c r="D480" t="s">
        <v>1606</v>
      </c>
      <c r="E480" s="7">
        <v>45388</v>
      </c>
      <c r="F480" t="s">
        <v>3485</v>
      </c>
      <c r="G480" t="s">
        <v>3486</v>
      </c>
      <c r="H480" t="s">
        <v>3487</v>
      </c>
      <c r="I480" t="s">
        <v>1634</v>
      </c>
      <c r="J480" t="s">
        <v>1649</v>
      </c>
      <c r="K480" s="7">
        <v>29221</v>
      </c>
    </row>
    <row r="481" spans="1:11" x14ac:dyDescent="0.25">
      <c r="A481">
        <v>480</v>
      </c>
      <c r="B481" t="s">
        <v>3488</v>
      </c>
      <c r="C481" t="s">
        <v>83</v>
      </c>
      <c r="D481" t="s">
        <v>1598</v>
      </c>
      <c r="E481" s="7">
        <v>42735</v>
      </c>
      <c r="F481" t="s">
        <v>3489</v>
      </c>
      <c r="G481" t="s">
        <v>3490</v>
      </c>
      <c r="H481" t="s">
        <v>3491</v>
      </c>
      <c r="I481" t="s">
        <v>1645</v>
      </c>
      <c r="J481" t="s">
        <v>1663</v>
      </c>
      <c r="K481" s="7">
        <v>28329</v>
      </c>
    </row>
    <row r="482" spans="1:11" x14ac:dyDescent="0.25">
      <c r="A482">
        <v>481</v>
      </c>
      <c r="B482" t="s">
        <v>3492</v>
      </c>
      <c r="C482" t="s">
        <v>83</v>
      </c>
      <c r="D482" t="s">
        <v>1596</v>
      </c>
      <c r="E482" s="7">
        <v>41215</v>
      </c>
      <c r="F482" t="s">
        <v>3493</v>
      </c>
      <c r="G482" t="s">
        <v>3494</v>
      </c>
      <c r="H482" t="s">
        <v>3495</v>
      </c>
      <c r="I482" t="s">
        <v>1634</v>
      </c>
      <c r="J482" t="s">
        <v>1649</v>
      </c>
      <c r="K482" s="7">
        <v>33310</v>
      </c>
    </row>
    <row r="483" spans="1:11" x14ac:dyDescent="0.25">
      <c r="A483">
        <v>482</v>
      </c>
      <c r="B483" t="s">
        <v>3496</v>
      </c>
      <c r="C483" t="s">
        <v>75</v>
      </c>
      <c r="D483" t="s">
        <v>1608</v>
      </c>
      <c r="E483" s="7">
        <v>40126</v>
      </c>
      <c r="F483" t="s">
        <v>3497</v>
      </c>
      <c r="G483" t="s">
        <v>3498</v>
      </c>
      <c r="H483" t="s">
        <v>3499</v>
      </c>
      <c r="I483" t="s">
        <v>1654</v>
      </c>
      <c r="J483" t="s">
        <v>467</v>
      </c>
      <c r="K483" s="7">
        <v>24466</v>
      </c>
    </row>
    <row r="484" spans="1:11" x14ac:dyDescent="0.25">
      <c r="A484">
        <v>483</v>
      </c>
      <c r="B484" t="s">
        <v>3500</v>
      </c>
      <c r="C484" t="s">
        <v>83</v>
      </c>
      <c r="D484" t="s">
        <v>1600</v>
      </c>
      <c r="E484" s="7">
        <v>42999</v>
      </c>
      <c r="F484" t="s">
        <v>3501</v>
      </c>
      <c r="G484" t="s">
        <v>3502</v>
      </c>
      <c r="H484" t="s">
        <v>3503</v>
      </c>
      <c r="I484" t="s">
        <v>1639</v>
      </c>
      <c r="J484" t="s">
        <v>467</v>
      </c>
      <c r="K484" s="7">
        <v>33559</v>
      </c>
    </row>
    <row r="485" spans="1:11" x14ac:dyDescent="0.25">
      <c r="A485">
        <v>484</v>
      </c>
      <c r="B485" t="s">
        <v>3504</v>
      </c>
      <c r="C485" t="s">
        <v>75</v>
      </c>
      <c r="D485" t="s">
        <v>1602</v>
      </c>
      <c r="E485" s="7">
        <v>42606</v>
      </c>
      <c r="F485" t="s">
        <v>3505</v>
      </c>
      <c r="G485" t="s">
        <v>3506</v>
      </c>
      <c r="H485" t="s">
        <v>3507</v>
      </c>
      <c r="I485" t="s">
        <v>1645</v>
      </c>
      <c r="J485" t="s">
        <v>397</v>
      </c>
      <c r="K485" s="7">
        <v>26203</v>
      </c>
    </row>
    <row r="486" spans="1:11" x14ac:dyDescent="0.25">
      <c r="A486">
        <v>485</v>
      </c>
      <c r="B486" t="s">
        <v>3508</v>
      </c>
      <c r="C486" t="s">
        <v>83</v>
      </c>
      <c r="D486" t="s">
        <v>1604</v>
      </c>
      <c r="E486" s="7">
        <v>42580</v>
      </c>
      <c r="F486" t="s">
        <v>3509</v>
      </c>
      <c r="G486" t="s">
        <v>3510</v>
      </c>
      <c r="H486" t="s">
        <v>3511</v>
      </c>
      <c r="I486" t="s">
        <v>1634</v>
      </c>
      <c r="J486" t="s">
        <v>1640</v>
      </c>
      <c r="K486" s="7">
        <v>33021</v>
      </c>
    </row>
    <row r="487" spans="1:11" x14ac:dyDescent="0.25">
      <c r="A487">
        <v>486</v>
      </c>
      <c r="B487" t="s">
        <v>3512</v>
      </c>
      <c r="C487" t="s">
        <v>83</v>
      </c>
      <c r="D487" t="s">
        <v>1614</v>
      </c>
      <c r="E487" s="7">
        <v>41415</v>
      </c>
      <c r="F487" t="s">
        <v>3513</v>
      </c>
      <c r="G487" t="s">
        <v>3514</v>
      </c>
      <c r="H487" t="s">
        <v>3515</v>
      </c>
      <c r="I487" t="s">
        <v>1738</v>
      </c>
      <c r="J487" t="s">
        <v>1649</v>
      </c>
      <c r="K487" s="7">
        <v>36809</v>
      </c>
    </row>
    <row r="488" spans="1:11" x14ac:dyDescent="0.25">
      <c r="A488">
        <v>487</v>
      </c>
      <c r="B488" t="s">
        <v>3516</v>
      </c>
      <c r="C488" t="s">
        <v>75</v>
      </c>
      <c r="D488" t="s">
        <v>1598</v>
      </c>
      <c r="E488" s="7">
        <v>41604</v>
      </c>
      <c r="F488" t="s">
        <v>3517</v>
      </c>
      <c r="G488" t="s">
        <v>3518</v>
      </c>
      <c r="H488" t="s">
        <v>3519</v>
      </c>
      <c r="I488" t="s">
        <v>1738</v>
      </c>
      <c r="J488" t="s">
        <v>1649</v>
      </c>
      <c r="K488" s="7">
        <v>28059</v>
      </c>
    </row>
    <row r="489" spans="1:11" x14ac:dyDescent="0.25">
      <c r="A489">
        <v>488</v>
      </c>
      <c r="B489" t="s">
        <v>3520</v>
      </c>
      <c r="C489" t="s">
        <v>75</v>
      </c>
      <c r="D489" t="s">
        <v>1610</v>
      </c>
      <c r="E489" s="7">
        <v>41853</v>
      </c>
      <c r="F489" t="s">
        <v>3521</v>
      </c>
      <c r="G489" t="s">
        <v>3522</v>
      </c>
      <c r="H489" t="s">
        <v>3523</v>
      </c>
      <c r="I489" t="s">
        <v>1738</v>
      </c>
      <c r="J489" t="s">
        <v>1663</v>
      </c>
      <c r="K489" s="7">
        <v>33474</v>
      </c>
    </row>
    <row r="490" spans="1:11" x14ac:dyDescent="0.25">
      <c r="A490">
        <v>489</v>
      </c>
      <c r="B490" t="s">
        <v>3524</v>
      </c>
      <c r="C490" t="s">
        <v>75</v>
      </c>
      <c r="D490" t="s">
        <v>1598</v>
      </c>
      <c r="E490" s="7">
        <v>45693</v>
      </c>
      <c r="F490" t="s">
        <v>3525</v>
      </c>
      <c r="G490" t="s">
        <v>3526</v>
      </c>
      <c r="H490" t="s">
        <v>3527</v>
      </c>
      <c r="I490" t="s">
        <v>1645</v>
      </c>
      <c r="J490" t="s">
        <v>467</v>
      </c>
      <c r="K490" s="7">
        <v>29473</v>
      </c>
    </row>
    <row r="491" spans="1:11" x14ac:dyDescent="0.25">
      <c r="A491">
        <v>490</v>
      </c>
      <c r="B491" t="s">
        <v>3528</v>
      </c>
      <c r="C491" t="s">
        <v>75</v>
      </c>
      <c r="D491" t="s">
        <v>1598</v>
      </c>
      <c r="E491" s="7">
        <v>42422</v>
      </c>
      <c r="F491" t="s">
        <v>3529</v>
      </c>
      <c r="G491" t="s">
        <v>3530</v>
      </c>
      <c r="H491" t="s">
        <v>3531</v>
      </c>
      <c r="I491" t="s">
        <v>1639</v>
      </c>
      <c r="J491" t="s">
        <v>1649</v>
      </c>
      <c r="K491" s="7">
        <v>26596</v>
      </c>
    </row>
    <row r="492" spans="1:11" x14ac:dyDescent="0.25">
      <c r="A492">
        <v>491</v>
      </c>
      <c r="B492" t="s">
        <v>3532</v>
      </c>
      <c r="C492" t="s">
        <v>75</v>
      </c>
      <c r="D492" t="s">
        <v>1612</v>
      </c>
      <c r="E492" s="7">
        <v>39821</v>
      </c>
      <c r="F492" t="s">
        <v>3533</v>
      </c>
      <c r="G492" t="s">
        <v>3534</v>
      </c>
      <c r="H492" t="s">
        <v>3535</v>
      </c>
      <c r="I492" t="s">
        <v>1645</v>
      </c>
      <c r="J492" t="s">
        <v>1640</v>
      </c>
      <c r="K492" s="7">
        <v>30679</v>
      </c>
    </row>
    <row r="493" spans="1:11" x14ac:dyDescent="0.25">
      <c r="A493">
        <v>492</v>
      </c>
      <c r="B493" t="s">
        <v>3536</v>
      </c>
      <c r="C493" t="s">
        <v>83</v>
      </c>
      <c r="D493" t="s">
        <v>1596</v>
      </c>
      <c r="E493" s="7">
        <v>43244</v>
      </c>
      <c r="F493" t="s">
        <v>3537</v>
      </c>
      <c r="G493" t="s">
        <v>3538</v>
      </c>
      <c r="H493" t="s">
        <v>3539</v>
      </c>
      <c r="I493" t="s">
        <v>1634</v>
      </c>
      <c r="J493" t="s">
        <v>1663</v>
      </c>
      <c r="K493" s="7">
        <v>24309</v>
      </c>
    </row>
    <row r="494" spans="1:11" x14ac:dyDescent="0.25">
      <c r="A494">
        <v>493</v>
      </c>
      <c r="B494" t="s">
        <v>3540</v>
      </c>
      <c r="C494" t="s">
        <v>83</v>
      </c>
      <c r="D494" t="s">
        <v>1598</v>
      </c>
      <c r="E494" s="7">
        <v>39538</v>
      </c>
      <c r="F494" t="s">
        <v>3541</v>
      </c>
      <c r="G494" t="s">
        <v>3542</v>
      </c>
      <c r="H494" t="s">
        <v>3543</v>
      </c>
      <c r="I494" t="s">
        <v>1645</v>
      </c>
      <c r="J494" t="s">
        <v>467</v>
      </c>
      <c r="K494" s="7">
        <v>24426</v>
      </c>
    </row>
    <row r="495" spans="1:11" x14ac:dyDescent="0.25">
      <c r="A495">
        <v>494</v>
      </c>
      <c r="B495" t="s">
        <v>3544</v>
      </c>
      <c r="C495" t="s">
        <v>75</v>
      </c>
      <c r="D495" t="s">
        <v>1610</v>
      </c>
      <c r="E495" s="7">
        <v>41277</v>
      </c>
      <c r="F495" t="s">
        <v>3545</v>
      </c>
      <c r="G495" t="s">
        <v>3546</v>
      </c>
      <c r="H495" t="s">
        <v>3547</v>
      </c>
      <c r="I495" t="s">
        <v>1645</v>
      </c>
      <c r="J495" t="s">
        <v>467</v>
      </c>
      <c r="K495" s="7">
        <v>32015</v>
      </c>
    </row>
    <row r="496" spans="1:11" x14ac:dyDescent="0.25">
      <c r="A496">
        <v>495</v>
      </c>
      <c r="B496" t="s">
        <v>3548</v>
      </c>
      <c r="C496" t="s">
        <v>75</v>
      </c>
      <c r="D496" t="s">
        <v>1602</v>
      </c>
      <c r="E496" s="7">
        <v>43867</v>
      </c>
      <c r="F496" t="s">
        <v>3549</v>
      </c>
      <c r="G496" t="s">
        <v>3550</v>
      </c>
      <c r="H496" t="s">
        <v>3551</v>
      </c>
      <c r="I496" t="s">
        <v>1639</v>
      </c>
      <c r="J496" t="s">
        <v>397</v>
      </c>
      <c r="K496" s="7">
        <v>32184</v>
      </c>
    </row>
    <row r="497" spans="1:11" x14ac:dyDescent="0.25">
      <c r="A497">
        <v>496</v>
      </c>
      <c r="B497" t="s">
        <v>3552</v>
      </c>
      <c r="C497" t="s">
        <v>75</v>
      </c>
      <c r="D497" t="s">
        <v>1598</v>
      </c>
      <c r="E497" s="7">
        <v>43655</v>
      </c>
      <c r="F497" t="s">
        <v>3553</v>
      </c>
      <c r="G497" t="s">
        <v>3554</v>
      </c>
      <c r="H497" t="s">
        <v>3555</v>
      </c>
      <c r="I497" t="s">
        <v>1634</v>
      </c>
      <c r="J497" t="s">
        <v>397</v>
      </c>
      <c r="K497" s="7">
        <v>30344</v>
      </c>
    </row>
    <row r="498" spans="1:11" x14ac:dyDescent="0.25">
      <c r="A498">
        <v>497</v>
      </c>
      <c r="B498" t="s">
        <v>3556</v>
      </c>
      <c r="C498" t="s">
        <v>75</v>
      </c>
      <c r="D498" t="s">
        <v>1604</v>
      </c>
      <c r="E498" s="7">
        <v>41357</v>
      </c>
      <c r="F498" t="s">
        <v>3557</v>
      </c>
      <c r="G498" t="s">
        <v>3558</v>
      </c>
      <c r="H498" t="s">
        <v>3559</v>
      </c>
      <c r="I498" t="s">
        <v>1639</v>
      </c>
      <c r="J498" t="s">
        <v>467</v>
      </c>
      <c r="K498" s="7">
        <v>26572</v>
      </c>
    </row>
    <row r="499" spans="1:11" x14ac:dyDescent="0.25">
      <c r="A499">
        <v>498</v>
      </c>
      <c r="B499" t="s">
        <v>3560</v>
      </c>
      <c r="C499" t="s">
        <v>75</v>
      </c>
      <c r="D499" t="s">
        <v>1608</v>
      </c>
      <c r="E499" s="7">
        <v>41096</v>
      </c>
      <c r="F499" t="s">
        <v>3561</v>
      </c>
      <c r="G499" t="s">
        <v>3562</v>
      </c>
      <c r="H499" t="s">
        <v>3563</v>
      </c>
      <c r="I499" t="s">
        <v>1639</v>
      </c>
      <c r="J499" t="s">
        <v>1649</v>
      </c>
      <c r="K499" s="7">
        <v>25826</v>
      </c>
    </row>
    <row r="500" spans="1:11" x14ac:dyDescent="0.25">
      <c r="A500">
        <v>499</v>
      </c>
      <c r="B500" t="s">
        <v>3564</v>
      </c>
      <c r="C500" t="s">
        <v>83</v>
      </c>
      <c r="D500" t="s">
        <v>1602</v>
      </c>
      <c r="E500" s="7">
        <v>42315</v>
      </c>
      <c r="F500" t="s">
        <v>3565</v>
      </c>
      <c r="G500" t="s">
        <v>3566</v>
      </c>
      <c r="H500" t="s">
        <v>3567</v>
      </c>
      <c r="I500" t="s">
        <v>1738</v>
      </c>
      <c r="J500" t="s">
        <v>397</v>
      </c>
      <c r="K500" s="7">
        <v>36038</v>
      </c>
    </row>
    <row r="501" spans="1:11" x14ac:dyDescent="0.25">
      <c r="A501">
        <v>500</v>
      </c>
      <c r="B501" t="s">
        <v>3568</v>
      </c>
      <c r="C501" t="s">
        <v>75</v>
      </c>
      <c r="D501" t="s">
        <v>1598</v>
      </c>
      <c r="E501" s="7">
        <v>39718</v>
      </c>
      <c r="F501" t="s">
        <v>3569</v>
      </c>
      <c r="G501">
        <f>1-202-96-8941</f>
        <v>-9238</v>
      </c>
      <c r="H501" t="s">
        <v>3570</v>
      </c>
      <c r="I501" t="s">
        <v>1654</v>
      </c>
      <c r="J501" t="s">
        <v>1649</v>
      </c>
      <c r="K501" s="7">
        <v>34180</v>
      </c>
    </row>
    <row r="502" spans="1:11" x14ac:dyDescent="0.25">
      <c r="A502">
        <v>501</v>
      </c>
      <c r="B502" t="s">
        <v>3571</v>
      </c>
      <c r="C502" t="s">
        <v>83</v>
      </c>
      <c r="D502" t="s">
        <v>1598</v>
      </c>
      <c r="E502" s="7">
        <v>39864</v>
      </c>
      <c r="F502" t="s">
        <v>3572</v>
      </c>
      <c r="G502" t="s">
        <v>3573</v>
      </c>
      <c r="H502" t="s">
        <v>3574</v>
      </c>
      <c r="I502" t="s">
        <v>1634</v>
      </c>
      <c r="J502" t="s">
        <v>1649</v>
      </c>
      <c r="K502" s="7">
        <v>28972</v>
      </c>
    </row>
    <row r="503" spans="1:11" x14ac:dyDescent="0.25">
      <c r="A503">
        <v>502</v>
      </c>
      <c r="B503" t="s">
        <v>3575</v>
      </c>
      <c r="C503" t="s">
        <v>75</v>
      </c>
      <c r="D503" t="s">
        <v>1608</v>
      </c>
      <c r="E503" s="7">
        <v>39914</v>
      </c>
      <c r="F503" t="s">
        <v>3576</v>
      </c>
      <c r="G503">
        <v>2826526917</v>
      </c>
      <c r="H503" t="s">
        <v>3577</v>
      </c>
      <c r="I503" t="s">
        <v>1639</v>
      </c>
      <c r="J503" t="s">
        <v>1640</v>
      </c>
      <c r="K503" s="7">
        <v>36045</v>
      </c>
    </row>
    <row r="504" spans="1:11" x14ac:dyDescent="0.25">
      <c r="A504">
        <v>503</v>
      </c>
      <c r="B504" t="s">
        <v>3578</v>
      </c>
      <c r="C504" t="s">
        <v>83</v>
      </c>
      <c r="D504" t="s">
        <v>1600</v>
      </c>
      <c r="E504" s="7">
        <v>41759</v>
      </c>
      <c r="F504" t="s">
        <v>3579</v>
      </c>
      <c r="G504" t="s">
        <v>3580</v>
      </c>
      <c r="H504" t="s">
        <v>3581</v>
      </c>
      <c r="I504" t="s">
        <v>1645</v>
      </c>
      <c r="J504" t="s">
        <v>467</v>
      </c>
      <c r="K504" s="7">
        <v>35972</v>
      </c>
    </row>
    <row r="505" spans="1:11" x14ac:dyDescent="0.25">
      <c r="A505">
        <v>504</v>
      </c>
      <c r="B505" t="s">
        <v>3582</v>
      </c>
      <c r="C505" t="s">
        <v>75</v>
      </c>
      <c r="D505" t="s">
        <v>1610</v>
      </c>
      <c r="E505" s="7">
        <v>40583</v>
      </c>
      <c r="F505" t="s">
        <v>3583</v>
      </c>
      <c r="G505" t="s">
        <v>3584</v>
      </c>
      <c r="H505" t="s">
        <v>3585</v>
      </c>
      <c r="I505" t="s">
        <v>1654</v>
      </c>
      <c r="J505" t="s">
        <v>1663</v>
      </c>
      <c r="K505" s="7">
        <v>24277</v>
      </c>
    </row>
    <row r="506" spans="1:11" x14ac:dyDescent="0.25">
      <c r="A506">
        <v>505</v>
      </c>
      <c r="B506" t="s">
        <v>3586</v>
      </c>
      <c r="C506" t="s">
        <v>75</v>
      </c>
      <c r="D506" t="s">
        <v>1612</v>
      </c>
      <c r="E506" s="7">
        <v>45466</v>
      </c>
      <c r="F506" t="s">
        <v>3587</v>
      </c>
      <c r="G506" t="s">
        <v>3588</v>
      </c>
      <c r="H506" t="s">
        <v>3589</v>
      </c>
      <c r="I506" t="s">
        <v>1645</v>
      </c>
      <c r="J506" t="s">
        <v>1663</v>
      </c>
      <c r="K506" s="7">
        <v>36504</v>
      </c>
    </row>
    <row r="507" spans="1:11" x14ac:dyDescent="0.25">
      <c r="A507">
        <v>506</v>
      </c>
      <c r="B507" t="s">
        <v>3590</v>
      </c>
      <c r="C507" t="s">
        <v>75</v>
      </c>
      <c r="D507" t="s">
        <v>1608</v>
      </c>
      <c r="E507" s="7">
        <v>45205</v>
      </c>
      <c r="F507" t="s">
        <v>3591</v>
      </c>
      <c r="G507" t="s">
        <v>3592</v>
      </c>
      <c r="H507" t="s">
        <v>3593</v>
      </c>
      <c r="I507" t="s">
        <v>1645</v>
      </c>
      <c r="J507" t="s">
        <v>467</v>
      </c>
      <c r="K507" s="7">
        <v>34950</v>
      </c>
    </row>
    <row r="508" spans="1:11" x14ac:dyDescent="0.25">
      <c r="A508">
        <v>507</v>
      </c>
      <c r="B508" t="s">
        <v>3594</v>
      </c>
      <c r="C508" t="s">
        <v>83</v>
      </c>
      <c r="D508" t="s">
        <v>1596</v>
      </c>
      <c r="E508" s="7">
        <v>40021</v>
      </c>
      <c r="F508" t="s">
        <v>3595</v>
      </c>
      <c r="G508" t="s">
        <v>3596</v>
      </c>
      <c r="H508" t="s">
        <v>3597</v>
      </c>
      <c r="I508" t="s">
        <v>1634</v>
      </c>
      <c r="J508" t="s">
        <v>1640</v>
      </c>
      <c r="K508" s="7">
        <v>29651</v>
      </c>
    </row>
    <row r="509" spans="1:11" x14ac:dyDescent="0.25">
      <c r="A509">
        <v>508</v>
      </c>
      <c r="B509" t="s">
        <v>3598</v>
      </c>
      <c r="C509" t="s">
        <v>75</v>
      </c>
      <c r="D509" t="s">
        <v>1598</v>
      </c>
      <c r="E509" s="7">
        <v>39384</v>
      </c>
      <c r="F509" t="s">
        <v>3599</v>
      </c>
      <c r="G509" t="s">
        <v>3600</v>
      </c>
      <c r="H509" t="s">
        <v>3601</v>
      </c>
      <c r="I509" t="s">
        <v>1639</v>
      </c>
      <c r="J509" t="s">
        <v>397</v>
      </c>
      <c r="K509" s="7">
        <v>26760</v>
      </c>
    </row>
    <row r="510" spans="1:11" x14ac:dyDescent="0.25">
      <c r="A510">
        <v>509</v>
      </c>
      <c r="B510" t="s">
        <v>3602</v>
      </c>
      <c r="C510" t="s">
        <v>83</v>
      </c>
      <c r="D510" t="s">
        <v>1598</v>
      </c>
      <c r="E510" s="7">
        <v>39642</v>
      </c>
      <c r="F510" t="s">
        <v>3603</v>
      </c>
      <c r="G510">
        <v>5398225336</v>
      </c>
      <c r="H510" t="s">
        <v>3604</v>
      </c>
      <c r="I510" t="s">
        <v>1738</v>
      </c>
      <c r="J510" t="s">
        <v>1649</v>
      </c>
      <c r="K510" s="7">
        <v>26516</v>
      </c>
    </row>
    <row r="511" spans="1:11" x14ac:dyDescent="0.25">
      <c r="A511">
        <v>510</v>
      </c>
      <c r="B511" t="s">
        <v>3605</v>
      </c>
      <c r="C511" t="s">
        <v>83</v>
      </c>
      <c r="D511" t="s">
        <v>1614</v>
      </c>
      <c r="E511" s="7">
        <v>41019</v>
      </c>
      <c r="F511" t="s">
        <v>3606</v>
      </c>
      <c r="G511" t="s">
        <v>3607</v>
      </c>
      <c r="H511" t="s">
        <v>3608</v>
      </c>
      <c r="I511" t="s">
        <v>1634</v>
      </c>
      <c r="J511" t="s">
        <v>397</v>
      </c>
      <c r="K511" s="7">
        <v>31099</v>
      </c>
    </row>
    <row r="512" spans="1:11" x14ac:dyDescent="0.25">
      <c r="A512">
        <v>511</v>
      </c>
      <c r="B512" t="s">
        <v>3609</v>
      </c>
      <c r="C512" t="s">
        <v>75</v>
      </c>
      <c r="D512" t="s">
        <v>1604</v>
      </c>
      <c r="E512" s="7">
        <v>42402</v>
      </c>
      <c r="F512" t="s">
        <v>3610</v>
      </c>
      <c r="G512" t="s">
        <v>3611</v>
      </c>
      <c r="H512" t="s">
        <v>3612</v>
      </c>
      <c r="I512" t="s">
        <v>1654</v>
      </c>
      <c r="J512" t="s">
        <v>1640</v>
      </c>
      <c r="K512" s="7">
        <v>32822</v>
      </c>
    </row>
    <row r="513" spans="1:11" x14ac:dyDescent="0.25">
      <c r="A513">
        <v>512</v>
      </c>
      <c r="B513" t="s">
        <v>3613</v>
      </c>
      <c r="C513" t="s">
        <v>83</v>
      </c>
      <c r="D513" t="s">
        <v>1596</v>
      </c>
      <c r="E513" s="7">
        <v>39963</v>
      </c>
      <c r="F513" t="s">
        <v>3614</v>
      </c>
      <c r="G513" t="s">
        <v>3615</v>
      </c>
      <c r="H513" t="s">
        <v>3616</v>
      </c>
      <c r="I513" t="s">
        <v>1639</v>
      </c>
      <c r="J513" t="s">
        <v>1640</v>
      </c>
      <c r="K513" s="7">
        <v>23767</v>
      </c>
    </row>
    <row r="514" spans="1:11" x14ac:dyDescent="0.25">
      <c r="A514">
        <v>513</v>
      </c>
      <c r="B514" t="s">
        <v>3617</v>
      </c>
      <c r="C514" t="s">
        <v>75</v>
      </c>
      <c r="D514" t="s">
        <v>1614</v>
      </c>
      <c r="E514" s="7">
        <v>40622</v>
      </c>
      <c r="F514" t="s">
        <v>3618</v>
      </c>
      <c r="G514" t="s">
        <v>3619</v>
      </c>
      <c r="H514" t="s">
        <v>3620</v>
      </c>
      <c r="I514" t="s">
        <v>1639</v>
      </c>
      <c r="J514" t="s">
        <v>1663</v>
      </c>
      <c r="K514" s="7">
        <v>29572</v>
      </c>
    </row>
    <row r="515" spans="1:11" x14ac:dyDescent="0.25">
      <c r="A515">
        <v>514</v>
      </c>
      <c r="B515" t="s">
        <v>3621</v>
      </c>
      <c r="C515" t="s">
        <v>75</v>
      </c>
      <c r="D515" t="s">
        <v>1600</v>
      </c>
      <c r="E515" s="7">
        <v>39728</v>
      </c>
      <c r="F515" t="s">
        <v>3622</v>
      </c>
      <c r="G515">
        <v>8740526966</v>
      </c>
      <c r="H515" t="s">
        <v>3623</v>
      </c>
      <c r="I515" t="s">
        <v>1639</v>
      </c>
      <c r="J515" t="s">
        <v>467</v>
      </c>
      <c r="K515" s="7">
        <v>37629</v>
      </c>
    </row>
    <row r="516" spans="1:11" x14ac:dyDescent="0.25">
      <c r="A516">
        <v>515</v>
      </c>
      <c r="B516" t="s">
        <v>3624</v>
      </c>
      <c r="C516" t="s">
        <v>83</v>
      </c>
      <c r="D516" t="s">
        <v>1614</v>
      </c>
      <c r="E516" s="7">
        <v>45119</v>
      </c>
      <c r="F516" t="s">
        <v>3625</v>
      </c>
      <c r="G516" t="s">
        <v>3626</v>
      </c>
      <c r="H516" t="s">
        <v>3627</v>
      </c>
      <c r="I516" t="s">
        <v>1639</v>
      </c>
      <c r="J516" t="s">
        <v>1649</v>
      </c>
      <c r="K516" s="7">
        <v>35478</v>
      </c>
    </row>
    <row r="517" spans="1:11" x14ac:dyDescent="0.25">
      <c r="A517">
        <v>516</v>
      </c>
      <c r="B517" t="s">
        <v>3628</v>
      </c>
      <c r="C517" t="s">
        <v>75</v>
      </c>
      <c r="D517" t="s">
        <v>1604</v>
      </c>
      <c r="E517" s="7">
        <v>41474</v>
      </c>
      <c r="F517" t="s">
        <v>3629</v>
      </c>
      <c r="G517" t="s">
        <v>3630</v>
      </c>
      <c r="H517" t="s">
        <v>3631</v>
      </c>
      <c r="I517" t="s">
        <v>1738</v>
      </c>
      <c r="J517" t="s">
        <v>1640</v>
      </c>
      <c r="K517" s="7">
        <v>25320</v>
      </c>
    </row>
    <row r="518" spans="1:11" x14ac:dyDescent="0.25">
      <c r="A518">
        <v>517</v>
      </c>
      <c r="B518" t="s">
        <v>3632</v>
      </c>
      <c r="C518" t="s">
        <v>83</v>
      </c>
      <c r="D518" t="s">
        <v>1606</v>
      </c>
      <c r="E518" s="7">
        <v>39717</v>
      </c>
      <c r="F518" t="s">
        <v>3633</v>
      </c>
      <c r="G518" t="s">
        <v>3634</v>
      </c>
      <c r="H518" t="s">
        <v>3635</v>
      </c>
      <c r="I518" t="s">
        <v>1634</v>
      </c>
      <c r="J518" t="s">
        <v>1649</v>
      </c>
      <c r="K518" s="7">
        <v>37396</v>
      </c>
    </row>
    <row r="519" spans="1:11" x14ac:dyDescent="0.25">
      <c r="A519">
        <v>518</v>
      </c>
      <c r="B519" t="s">
        <v>3636</v>
      </c>
      <c r="C519" t="s">
        <v>83</v>
      </c>
      <c r="D519" t="s">
        <v>1600</v>
      </c>
      <c r="E519" s="7">
        <v>39565</v>
      </c>
      <c r="F519" t="s">
        <v>3637</v>
      </c>
      <c r="G519">
        <f>1-502-406-1496</f>
        <v>-2403</v>
      </c>
      <c r="H519" t="s">
        <v>3638</v>
      </c>
      <c r="I519" t="s">
        <v>1634</v>
      </c>
      <c r="J519" t="s">
        <v>467</v>
      </c>
      <c r="K519" s="7">
        <v>37316</v>
      </c>
    </row>
    <row r="520" spans="1:11" x14ac:dyDescent="0.25">
      <c r="A520">
        <v>519</v>
      </c>
      <c r="B520" t="s">
        <v>3639</v>
      </c>
      <c r="C520" t="s">
        <v>83</v>
      </c>
      <c r="D520" t="s">
        <v>1598</v>
      </c>
      <c r="E520" s="7">
        <v>45430</v>
      </c>
      <c r="F520" t="s">
        <v>3640</v>
      </c>
      <c r="G520" t="s">
        <v>3641</v>
      </c>
      <c r="H520" t="s">
        <v>3642</v>
      </c>
      <c r="I520" t="s">
        <v>1645</v>
      </c>
      <c r="J520" t="s">
        <v>1663</v>
      </c>
      <c r="K520" s="7">
        <v>34586</v>
      </c>
    </row>
    <row r="521" spans="1:11" x14ac:dyDescent="0.25">
      <c r="A521">
        <v>520</v>
      </c>
      <c r="B521" t="s">
        <v>3643</v>
      </c>
      <c r="C521" t="s">
        <v>83</v>
      </c>
      <c r="D521" t="s">
        <v>1600</v>
      </c>
      <c r="E521" s="7">
        <v>44550</v>
      </c>
      <c r="F521" t="s">
        <v>3644</v>
      </c>
      <c r="G521" t="s">
        <v>3645</v>
      </c>
      <c r="H521" t="s">
        <v>3646</v>
      </c>
      <c r="I521" t="s">
        <v>1654</v>
      </c>
      <c r="J521" t="s">
        <v>1663</v>
      </c>
      <c r="K521" s="7">
        <v>28569</v>
      </c>
    </row>
    <row r="522" spans="1:11" x14ac:dyDescent="0.25">
      <c r="A522">
        <v>521</v>
      </c>
      <c r="B522" t="s">
        <v>3647</v>
      </c>
      <c r="C522" t="s">
        <v>83</v>
      </c>
      <c r="D522" t="s">
        <v>1602</v>
      </c>
      <c r="E522" s="7">
        <v>41955</v>
      </c>
      <c r="F522" t="s">
        <v>3648</v>
      </c>
      <c r="G522">
        <v>2448298755</v>
      </c>
      <c r="H522" t="s">
        <v>3649</v>
      </c>
      <c r="I522" t="s">
        <v>1645</v>
      </c>
      <c r="J522" t="s">
        <v>467</v>
      </c>
      <c r="K522" s="7">
        <v>25318</v>
      </c>
    </row>
    <row r="523" spans="1:11" x14ac:dyDescent="0.25">
      <c r="A523">
        <v>522</v>
      </c>
      <c r="B523" t="s">
        <v>3650</v>
      </c>
      <c r="C523" t="s">
        <v>83</v>
      </c>
      <c r="D523" t="s">
        <v>1602</v>
      </c>
      <c r="E523" s="7">
        <v>39842</v>
      </c>
      <c r="F523" t="s">
        <v>3651</v>
      </c>
      <c r="G523" t="s">
        <v>3652</v>
      </c>
      <c r="H523" t="s">
        <v>3653</v>
      </c>
      <c r="I523" t="s">
        <v>1738</v>
      </c>
      <c r="J523" t="s">
        <v>467</v>
      </c>
      <c r="K523" s="7">
        <v>31842</v>
      </c>
    </row>
    <row r="524" spans="1:11" x14ac:dyDescent="0.25">
      <c r="A524">
        <v>523</v>
      </c>
      <c r="B524" t="s">
        <v>3654</v>
      </c>
      <c r="C524" t="s">
        <v>83</v>
      </c>
      <c r="D524" t="s">
        <v>1610</v>
      </c>
      <c r="E524" s="7">
        <v>44771</v>
      </c>
      <c r="F524" t="s">
        <v>3655</v>
      </c>
      <c r="G524" t="s">
        <v>3656</v>
      </c>
      <c r="H524" t="s">
        <v>3657</v>
      </c>
      <c r="I524" t="s">
        <v>1738</v>
      </c>
      <c r="J524" t="s">
        <v>1663</v>
      </c>
      <c r="K524" s="7">
        <v>25213</v>
      </c>
    </row>
    <row r="525" spans="1:11" x14ac:dyDescent="0.25">
      <c r="A525">
        <v>524</v>
      </c>
      <c r="B525" t="s">
        <v>3658</v>
      </c>
      <c r="C525" t="s">
        <v>75</v>
      </c>
      <c r="D525" t="s">
        <v>1596</v>
      </c>
      <c r="E525" s="7">
        <v>39559</v>
      </c>
      <c r="F525" t="s">
        <v>3659</v>
      </c>
      <c r="G525" t="s">
        <v>3660</v>
      </c>
      <c r="H525" t="s">
        <v>3661</v>
      </c>
      <c r="I525" t="s">
        <v>1645</v>
      </c>
      <c r="J525" t="s">
        <v>1649</v>
      </c>
      <c r="K525" s="7">
        <v>31872</v>
      </c>
    </row>
    <row r="526" spans="1:11" x14ac:dyDescent="0.25">
      <c r="A526">
        <v>525</v>
      </c>
      <c r="B526" t="s">
        <v>3662</v>
      </c>
      <c r="C526" t="s">
        <v>75</v>
      </c>
      <c r="D526" t="s">
        <v>1598</v>
      </c>
      <c r="E526" s="7">
        <v>39776</v>
      </c>
      <c r="F526" t="s">
        <v>3663</v>
      </c>
      <c r="G526" t="s">
        <v>3664</v>
      </c>
      <c r="H526" t="s">
        <v>3665</v>
      </c>
      <c r="I526" t="s">
        <v>1639</v>
      </c>
      <c r="J526" t="s">
        <v>1640</v>
      </c>
      <c r="K526" s="7">
        <v>23665</v>
      </c>
    </row>
    <row r="527" spans="1:11" x14ac:dyDescent="0.25">
      <c r="A527">
        <v>526</v>
      </c>
      <c r="B527" t="s">
        <v>3666</v>
      </c>
      <c r="C527" t="s">
        <v>75</v>
      </c>
      <c r="D527" t="s">
        <v>1598</v>
      </c>
      <c r="E527" s="7">
        <v>42644</v>
      </c>
      <c r="F527" t="s">
        <v>3667</v>
      </c>
      <c r="G527" t="s">
        <v>3668</v>
      </c>
      <c r="H527" t="s">
        <v>3669</v>
      </c>
      <c r="I527" t="s">
        <v>1645</v>
      </c>
      <c r="J527" t="s">
        <v>1649</v>
      </c>
      <c r="K527" s="7">
        <v>35660</v>
      </c>
    </row>
    <row r="528" spans="1:11" x14ac:dyDescent="0.25">
      <c r="A528">
        <v>527</v>
      </c>
      <c r="B528" t="s">
        <v>3670</v>
      </c>
      <c r="C528" t="s">
        <v>75</v>
      </c>
      <c r="D528" t="s">
        <v>1602</v>
      </c>
      <c r="E528" s="7">
        <v>41186</v>
      </c>
      <c r="F528" t="s">
        <v>3671</v>
      </c>
      <c r="G528" t="s">
        <v>3672</v>
      </c>
      <c r="H528" t="s">
        <v>3673</v>
      </c>
      <c r="I528" t="s">
        <v>1738</v>
      </c>
      <c r="J528" t="s">
        <v>1649</v>
      </c>
      <c r="K528" s="7">
        <v>26098</v>
      </c>
    </row>
    <row r="529" spans="1:11" x14ac:dyDescent="0.25">
      <c r="A529">
        <v>528</v>
      </c>
      <c r="B529" t="s">
        <v>3674</v>
      </c>
      <c r="C529" t="s">
        <v>75</v>
      </c>
      <c r="D529" t="s">
        <v>1610</v>
      </c>
      <c r="E529" s="7">
        <v>44175</v>
      </c>
      <c r="F529" t="s">
        <v>3675</v>
      </c>
      <c r="G529" t="s">
        <v>3676</v>
      </c>
      <c r="H529" t="s">
        <v>3677</v>
      </c>
      <c r="I529" t="s">
        <v>1639</v>
      </c>
      <c r="J529" t="s">
        <v>1640</v>
      </c>
      <c r="K529" s="7">
        <v>33815</v>
      </c>
    </row>
    <row r="530" spans="1:11" x14ac:dyDescent="0.25">
      <c r="A530">
        <v>529</v>
      </c>
      <c r="B530" t="s">
        <v>3678</v>
      </c>
      <c r="C530" t="s">
        <v>83</v>
      </c>
      <c r="D530" t="s">
        <v>1596</v>
      </c>
      <c r="E530" s="7">
        <v>40103</v>
      </c>
      <c r="F530" t="s">
        <v>3679</v>
      </c>
      <c r="G530" t="s">
        <v>3680</v>
      </c>
      <c r="H530" t="s">
        <v>3681</v>
      </c>
      <c r="I530" t="s">
        <v>1738</v>
      </c>
      <c r="J530" t="s">
        <v>397</v>
      </c>
      <c r="K530" s="7">
        <v>28512</v>
      </c>
    </row>
    <row r="531" spans="1:11" x14ac:dyDescent="0.25">
      <c r="A531">
        <v>530</v>
      </c>
      <c r="B531" t="s">
        <v>3682</v>
      </c>
      <c r="C531" t="s">
        <v>83</v>
      </c>
      <c r="D531" t="s">
        <v>1614</v>
      </c>
      <c r="E531" s="7">
        <v>38557</v>
      </c>
      <c r="F531" t="s">
        <v>3683</v>
      </c>
      <c r="G531">
        <v>9004987347</v>
      </c>
      <c r="H531" t="s">
        <v>3684</v>
      </c>
      <c r="I531" t="s">
        <v>1654</v>
      </c>
      <c r="J531" t="s">
        <v>1640</v>
      </c>
      <c r="K531" s="7">
        <v>35625</v>
      </c>
    </row>
    <row r="532" spans="1:11" x14ac:dyDescent="0.25">
      <c r="A532">
        <v>531</v>
      </c>
      <c r="B532" t="s">
        <v>3685</v>
      </c>
      <c r="C532" t="s">
        <v>75</v>
      </c>
      <c r="D532" t="s">
        <v>1612</v>
      </c>
      <c r="E532" s="7">
        <v>43741</v>
      </c>
      <c r="F532" t="s">
        <v>3686</v>
      </c>
      <c r="G532" t="s">
        <v>3687</v>
      </c>
      <c r="H532" t="s">
        <v>3688</v>
      </c>
      <c r="I532" t="s">
        <v>1738</v>
      </c>
      <c r="J532" t="s">
        <v>1640</v>
      </c>
      <c r="K532" s="7">
        <v>29010</v>
      </c>
    </row>
    <row r="533" spans="1:11" x14ac:dyDescent="0.25">
      <c r="A533">
        <v>532</v>
      </c>
      <c r="B533" t="s">
        <v>3689</v>
      </c>
      <c r="C533" t="s">
        <v>83</v>
      </c>
      <c r="D533" t="s">
        <v>1608</v>
      </c>
      <c r="E533" s="7">
        <v>39602</v>
      </c>
      <c r="F533" t="s">
        <v>3690</v>
      </c>
      <c r="G533" t="s">
        <v>3691</v>
      </c>
      <c r="H533" t="s">
        <v>3692</v>
      </c>
      <c r="I533" t="s">
        <v>1645</v>
      </c>
      <c r="J533" t="s">
        <v>1663</v>
      </c>
      <c r="K533" s="7">
        <v>34356</v>
      </c>
    </row>
    <row r="534" spans="1:11" x14ac:dyDescent="0.25">
      <c r="A534">
        <v>533</v>
      </c>
      <c r="B534" t="s">
        <v>3693</v>
      </c>
      <c r="C534" t="s">
        <v>75</v>
      </c>
      <c r="D534" t="s">
        <v>1614</v>
      </c>
      <c r="E534" s="7">
        <v>40517</v>
      </c>
      <c r="F534" t="s">
        <v>3694</v>
      </c>
      <c r="G534" t="s">
        <v>3695</v>
      </c>
      <c r="H534" t="s">
        <v>3696</v>
      </c>
      <c r="I534" t="s">
        <v>1738</v>
      </c>
      <c r="J534" t="s">
        <v>1663</v>
      </c>
      <c r="K534" s="7">
        <v>35007</v>
      </c>
    </row>
    <row r="535" spans="1:11" x14ac:dyDescent="0.25">
      <c r="A535">
        <v>534</v>
      </c>
      <c r="B535" t="s">
        <v>3697</v>
      </c>
      <c r="C535" t="s">
        <v>83</v>
      </c>
      <c r="D535" t="s">
        <v>1598</v>
      </c>
      <c r="E535" s="7">
        <v>39909</v>
      </c>
      <c r="F535" t="s">
        <v>3698</v>
      </c>
      <c r="G535" t="s">
        <v>3699</v>
      </c>
      <c r="H535" t="s">
        <v>3700</v>
      </c>
      <c r="I535" t="s">
        <v>1738</v>
      </c>
      <c r="J535" t="s">
        <v>1640</v>
      </c>
      <c r="K535" s="7">
        <v>32632</v>
      </c>
    </row>
    <row r="536" spans="1:11" x14ac:dyDescent="0.25">
      <c r="A536">
        <v>535</v>
      </c>
      <c r="B536" t="s">
        <v>3701</v>
      </c>
      <c r="C536" t="s">
        <v>83</v>
      </c>
      <c r="D536" t="s">
        <v>1612</v>
      </c>
      <c r="E536" s="7">
        <v>41742</v>
      </c>
      <c r="F536" t="s">
        <v>3702</v>
      </c>
      <c r="G536" t="s">
        <v>3703</v>
      </c>
      <c r="H536" t="s">
        <v>3704</v>
      </c>
      <c r="I536" t="s">
        <v>1738</v>
      </c>
      <c r="J536" t="s">
        <v>1649</v>
      </c>
      <c r="K536" s="7">
        <v>23533</v>
      </c>
    </row>
    <row r="537" spans="1:11" x14ac:dyDescent="0.25">
      <c r="A537">
        <v>536</v>
      </c>
      <c r="B537" t="s">
        <v>3705</v>
      </c>
      <c r="C537" t="s">
        <v>75</v>
      </c>
      <c r="D537" t="s">
        <v>1602</v>
      </c>
      <c r="E537" s="7">
        <v>40621</v>
      </c>
      <c r="F537" t="s">
        <v>3706</v>
      </c>
      <c r="G537" t="s">
        <v>3707</v>
      </c>
      <c r="H537" t="s">
        <v>3708</v>
      </c>
      <c r="I537" t="s">
        <v>1645</v>
      </c>
      <c r="J537" t="s">
        <v>1663</v>
      </c>
      <c r="K537" s="7">
        <v>35916</v>
      </c>
    </row>
    <row r="538" spans="1:11" x14ac:dyDescent="0.25">
      <c r="A538">
        <v>537</v>
      </c>
      <c r="B538" t="s">
        <v>3709</v>
      </c>
      <c r="C538" t="s">
        <v>83</v>
      </c>
      <c r="D538" t="s">
        <v>1598</v>
      </c>
      <c r="E538" s="7">
        <v>38679</v>
      </c>
      <c r="F538" t="s">
        <v>3710</v>
      </c>
      <c r="G538" t="s">
        <v>3711</v>
      </c>
      <c r="H538" t="s">
        <v>3712</v>
      </c>
      <c r="I538" t="s">
        <v>1639</v>
      </c>
      <c r="J538" t="s">
        <v>1663</v>
      </c>
      <c r="K538" s="7">
        <v>35177</v>
      </c>
    </row>
    <row r="539" spans="1:11" x14ac:dyDescent="0.25">
      <c r="A539">
        <v>538</v>
      </c>
      <c r="B539" t="s">
        <v>3713</v>
      </c>
      <c r="C539" t="s">
        <v>75</v>
      </c>
      <c r="D539" t="s">
        <v>1608</v>
      </c>
      <c r="E539" s="7">
        <v>39193</v>
      </c>
      <c r="F539" t="s">
        <v>3714</v>
      </c>
      <c r="G539" t="s">
        <v>3715</v>
      </c>
      <c r="H539" t="s">
        <v>3716</v>
      </c>
      <c r="I539" t="s">
        <v>1639</v>
      </c>
      <c r="J539" t="s">
        <v>1649</v>
      </c>
      <c r="K539" s="7">
        <v>31020</v>
      </c>
    </row>
    <row r="540" spans="1:11" x14ac:dyDescent="0.25">
      <c r="A540">
        <v>539</v>
      </c>
      <c r="B540" t="s">
        <v>3717</v>
      </c>
      <c r="C540" t="s">
        <v>75</v>
      </c>
      <c r="D540" t="s">
        <v>1604</v>
      </c>
      <c r="E540" s="7">
        <v>41989</v>
      </c>
      <c r="F540" t="s">
        <v>3718</v>
      </c>
      <c r="G540">
        <f>1-373-239-631</f>
        <v>-1242</v>
      </c>
      <c r="H540" t="s">
        <v>3719</v>
      </c>
      <c r="I540" t="s">
        <v>1639</v>
      </c>
      <c r="J540" t="s">
        <v>1649</v>
      </c>
      <c r="K540" s="7">
        <v>24428</v>
      </c>
    </row>
    <row r="541" spans="1:11" x14ac:dyDescent="0.25">
      <c r="A541">
        <v>540</v>
      </c>
      <c r="B541" t="s">
        <v>3720</v>
      </c>
      <c r="C541" t="s">
        <v>83</v>
      </c>
      <c r="D541" t="s">
        <v>1602</v>
      </c>
      <c r="E541" s="7">
        <v>41828</v>
      </c>
      <c r="F541" t="s">
        <v>3721</v>
      </c>
      <c r="G541" t="s">
        <v>3722</v>
      </c>
      <c r="H541" t="s">
        <v>3723</v>
      </c>
      <c r="I541" t="s">
        <v>1634</v>
      </c>
      <c r="J541" t="s">
        <v>467</v>
      </c>
      <c r="K541" s="7">
        <v>31174</v>
      </c>
    </row>
    <row r="542" spans="1:11" x14ac:dyDescent="0.25">
      <c r="A542">
        <v>541</v>
      </c>
      <c r="B542" t="s">
        <v>3724</v>
      </c>
      <c r="C542" t="s">
        <v>83</v>
      </c>
      <c r="D542" t="s">
        <v>1612</v>
      </c>
      <c r="E542" s="7">
        <v>40924</v>
      </c>
      <c r="F542" t="s">
        <v>3725</v>
      </c>
      <c r="G542" t="s">
        <v>3726</v>
      </c>
      <c r="H542" t="s">
        <v>3727</v>
      </c>
      <c r="I542" t="s">
        <v>1634</v>
      </c>
      <c r="J542" t="s">
        <v>467</v>
      </c>
      <c r="K542" s="7">
        <v>36740</v>
      </c>
    </row>
    <row r="543" spans="1:11" x14ac:dyDescent="0.25">
      <c r="A543">
        <v>542</v>
      </c>
      <c r="B543" t="s">
        <v>3728</v>
      </c>
      <c r="C543" t="s">
        <v>75</v>
      </c>
      <c r="D543" t="s">
        <v>1602</v>
      </c>
      <c r="E543" s="7">
        <v>38847</v>
      </c>
      <c r="F543" t="s">
        <v>3729</v>
      </c>
      <c r="G543" t="s">
        <v>3730</v>
      </c>
      <c r="H543" t="s">
        <v>3731</v>
      </c>
      <c r="I543" t="s">
        <v>1634</v>
      </c>
      <c r="J543" t="s">
        <v>1640</v>
      </c>
      <c r="K543" s="7">
        <v>29009</v>
      </c>
    </row>
    <row r="544" spans="1:11" x14ac:dyDescent="0.25">
      <c r="A544">
        <v>543</v>
      </c>
      <c r="B544" t="s">
        <v>3732</v>
      </c>
      <c r="C544" t="s">
        <v>75</v>
      </c>
      <c r="D544" t="s">
        <v>1610</v>
      </c>
      <c r="E544" s="7">
        <v>45705</v>
      </c>
      <c r="F544" t="s">
        <v>3733</v>
      </c>
      <c r="G544">
        <v>630180753</v>
      </c>
      <c r="H544" t="s">
        <v>3734</v>
      </c>
      <c r="I544" t="s">
        <v>1738</v>
      </c>
      <c r="J544" t="s">
        <v>1640</v>
      </c>
      <c r="K544" s="7">
        <v>24262</v>
      </c>
    </row>
    <row r="545" spans="1:11" x14ac:dyDescent="0.25">
      <c r="A545">
        <v>544</v>
      </c>
      <c r="B545" t="s">
        <v>3735</v>
      </c>
      <c r="C545" t="s">
        <v>75</v>
      </c>
      <c r="D545" t="s">
        <v>1600</v>
      </c>
      <c r="E545" s="7">
        <v>42033</v>
      </c>
      <c r="F545" t="s">
        <v>3736</v>
      </c>
      <c r="G545" t="s">
        <v>3737</v>
      </c>
      <c r="H545" t="s">
        <v>3738</v>
      </c>
      <c r="I545" t="s">
        <v>1634</v>
      </c>
      <c r="J545" t="s">
        <v>1649</v>
      </c>
      <c r="K545" s="7">
        <v>24866</v>
      </c>
    </row>
    <row r="546" spans="1:11" x14ac:dyDescent="0.25">
      <c r="A546">
        <v>545</v>
      </c>
      <c r="B546" t="s">
        <v>2935</v>
      </c>
      <c r="C546" t="s">
        <v>83</v>
      </c>
      <c r="D546" t="s">
        <v>1608</v>
      </c>
      <c r="E546" s="7">
        <v>41099</v>
      </c>
      <c r="F546" t="s">
        <v>3739</v>
      </c>
      <c r="G546" t="s">
        <v>3740</v>
      </c>
      <c r="H546" t="s">
        <v>3741</v>
      </c>
      <c r="I546" t="s">
        <v>1738</v>
      </c>
      <c r="J546" t="s">
        <v>1640</v>
      </c>
      <c r="K546" s="7">
        <v>27194</v>
      </c>
    </row>
    <row r="547" spans="1:11" x14ac:dyDescent="0.25">
      <c r="A547">
        <v>546</v>
      </c>
      <c r="B547" t="s">
        <v>3742</v>
      </c>
      <c r="C547" t="s">
        <v>75</v>
      </c>
      <c r="D547" t="s">
        <v>1600</v>
      </c>
      <c r="E547" s="7">
        <v>40299</v>
      </c>
      <c r="F547" t="s">
        <v>3743</v>
      </c>
      <c r="G547" t="s">
        <v>3744</v>
      </c>
      <c r="H547" t="s">
        <v>3745</v>
      </c>
      <c r="I547" t="s">
        <v>1645</v>
      </c>
      <c r="J547" t="s">
        <v>397</v>
      </c>
      <c r="K547" s="7">
        <v>33221</v>
      </c>
    </row>
    <row r="548" spans="1:11" x14ac:dyDescent="0.25">
      <c r="A548">
        <v>547</v>
      </c>
      <c r="B548" t="s">
        <v>3746</v>
      </c>
      <c r="C548" t="s">
        <v>83</v>
      </c>
      <c r="D548" t="s">
        <v>1602</v>
      </c>
      <c r="E548" s="7">
        <v>39937</v>
      </c>
      <c r="F548" t="s">
        <v>3747</v>
      </c>
      <c r="G548" t="s">
        <v>3748</v>
      </c>
      <c r="H548" t="s">
        <v>3749</v>
      </c>
      <c r="I548" t="s">
        <v>1639</v>
      </c>
      <c r="J548" t="s">
        <v>1663</v>
      </c>
      <c r="K548" s="7">
        <v>26679</v>
      </c>
    </row>
    <row r="549" spans="1:11" x14ac:dyDescent="0.25">
      <c r="A549">
        <v>548</v>
      </c>
      <c r="B549" t="s">
        <v>3750</v>
      </c>
      <c r="C549" t="s">
        <v>75</v>
      </c>
      <c r="D549" t="s">
        <v>1602</v>
      </c>
      <c r="E549" s="7">
        <v>39670</v>
      </c>
      <c r="F549" t="s">
        <v>3751</v>
      </c>
      <c r="G549" t="s">
        <v>3752</v>
      </c>
      <c r="H549" t="s">
        <v>3753</v>
      </c>
      <c r="I549" t="s">
        <v>1738</v>
      </c>
      <c r="J549" t="s">
        <v>1663</v>
      </c>
      <c r="K549" s="7">
        <v>36069</v>
      </c>
    </row>
    <row r="550" spans="1:11" x14ac:dyDescent="0.25">
      <c r="A550">
        <v>549</v>
      </c>
      <c r="B550" t="s">
        <v>2939</v>
      </c>
      <c r="C550" t="s">
        <v>75</v>
      </c>
      <c r="D550" t="s">
        <v>1612</v>
      </c>
      <c r="E550" s="7">
        <v>45229</v>
      </c>
      <c r="F550" t="s">
        <v>3754</v>
      </c>
      <c r="G550" t="s">
        <v>3755</v>
      </c>
      <c r="H550" t="s">
        <v>3756</v>
      </c>
      <c r="I550" t="s">
        <v>1645</v>
      </c>
      <c r="J550" t="s">
        <v>467</v>
      </c>
      <c r="K550" s="7">
        <v>28561</v>
      </c>
    </row>
    <row r="551" spans="1:11" x14ac:dyDescent="0.25">
      <c r="A551">
        <v>550</v>
      </c>
      <c r="B551" t="s">
        <v>3757</v>
      </c>
      <c r="C551" t="s">
        <v>75</v>
      </c>
      <c r="D551" t="s">
        <v>1606</v>
      </c>
      <c r="E551" s="7">
        <v>43359</v>
      </c>
      <c r="F551" t="s">
        <v>3758</v>
      </c>
      <c r="G551" t="s">
        <v>3759</v>
      </c>
      <c r="H551" t="s">
        <v>3760</v>
      </c>
      <c r="I551" t="s">
        <v>1639</v>
      </c>
      <c r="J551" t="s">
        <v>467</v>
      </c>
      <c r="K551" s="7">
        <v>25331</v>
      </c>
    </row>
    <row r="552" spans="1:11" x14ac:dyDescent="0.25">
      <c r="A552">
        <v>551</v>
      </c>
      <c r="B552" t="s">
        <v>3761</v>
      </c>
      <c r="C552" t="s">
        <v>83</v>
      </c>
      <c r="D552" t="s">
        <v>1604</v>
      </c>
      <c r="E552" s="7">
        <v>39251</v>
      </c>
      <c r="F552" t="s">
        <v>3762</v>
      </c>
      <c r="G552" t="s">
        <v>3763</v>
      </c>
      <c r="H552" t="s">
        <v>3764</v>
      </c>
      <c r="I552" t="s">
        <v>1645</v>
      </c>
      <c r="J552" t="s">
        <v>1663</v>
      </c>
      <c r="K552" s="7">
        <v>24389</v>
      </c>
    </row>
    <row r="553" spans="1:11" x14ac:dyDescent="0.25">
      <c r="A553">
        <v>552</v>
      </c>
      <c r="B553" t="s">
        <v>3765</v>
      </c>
      <c r="C553" t="s">
        <v>83</v>
      </c>
      <c r="D553" t="s">
        <v>1608</v>
      </c>
      <c r="E553" s="7">
        <v>44079</v>
      </c>
      <c r="F553" t="s">
        <v>3766</v>
      </c>
      <c r="G553" t="s">
        <v>3767</v>
      </c>
      <c r="H553" t="s">
        <v>3768</v>
      </c>
      <c r="I553" t="s">
        <v>1639</v>
      </c>
      <c r="J553" t="s">
        <v>1649</v>
      </c>
      <c r="K553" s="7">
        <v>35682</v>
      </c>
    </row>
    <row r="554" spans="1:11" x14ac:dyDescent="0.25">
      <c r="A554">
        <v>553</v>
      </c>
      <c r="B554" t="s">
        <v>3769</v>
      </c>
      <c r="C554" t="s">
        <v>75</v>
      </c>
      <c r="D554" t="s">
        <v>1598</v>
      </c>
      <c r="E554" s="7">
        <v>45024</v>
      </c>
      <c r="F554" t="s">
        <v>3770</v>
      </c>
      <c r="G554" t="s">
        <v>3771</v>
      </c>
      <c r="H554" t="s">
        <v>3772</v>
      </c>
      <c r="I554" t="s">
        <v>1639</v>
      </c>
      <c r="J554" t="s">
        <v>467</v>
      </c>
      <c r="K554" s="7">
        <v>37023</v>
      </c>
    </row>
    <row r="555" spans="1:11" x14ac:dyDescent="0.25">
      <c r="A555">
        <v>554</v>
      </c>
      <c r="B555" t="s">
        <v>3773</v>
      </c>
      <c r="C555" t="s">
        <v>75</v>
      </c>
      <c r="D555" t="s">
        <v>1604</v>
      </c>
      <c r="E555" s="7">
        <v>44550</v>
      </c>
      <c r="F555" t="s">
        <v>3774</v>
      </c>
      <c r="G555" t="s">
        <v>3775</v>
      </c>
      <c r="H555" t="s">
        <v>3776</v>
      </c>
      <c r="I555" t="s">
        <v>1634</v>
      </c>
      <c r="J555" t="s">
        <v>397</v>
      </c>
      <c r="K555" s="7">
        <v>29928</v>
      </c>
    </row>
    <row r="556" spans="1:11" x14ac:dyDescent="0.25">
      <c r="A556">
        <v>555</v>
      </c>
      <c r="B556" t="s">
        <v>3777</v>
      </c>
      <c r="C556" t="s">
        <v>75</v>
      </c>
      <c r="D556" t="s">
        <v>1606</v>
      </c>
      <c r="E556" s="7">
        <v>45571</v>
      </c>
      <c r="F556" t="s">
        <v>3778</v>
      </c>
      <c r="G556" t="s">
        <v>3779</v>
      </c>
      <c r="H556" t="s">
        <v>3780</v>
      </c>
      <c r="I556" t="s">
        <v>1738</v>
      </c>
      <c r="J556" t="s">
        <v>1640</v>
      </c>
      <c r="K556" s="7">
        <v>30964</v>
      </c>
    </row>
    <row r="557" spans="1:11" x14ac:dyDescent="0.25">
      <c r="A557">
        <v>556</v>
      </c>
      <c r="B557" t="s">
        <v>3781</v>
      </c>
      <c r="C557" t="s">
        <v>75</v>
      </c>
      <c r="D557" t="s">
        <v>1600</v>
      </c>
      <c r="E557" s="7">
        <v>41354</v>
      </c>
      <c r="F557" t="s">
        <v>3782</v>
      </c>
      <c r="G557" t="s">
        <v>3783</v>
      </c>
      <c r="H557" t="s">
        <v>3784</v>
      </c>
      <c r="I557" t="s">
        <v>1738</v>
      </c>
      <c r="J557" t="s">
        <v>1640</v>
      </c>
      <c r="K557" s="7">
        <v>24461</v>
      </c>
    </row>
    <row r="558" spans="1:11" x14ac:dyDescent="0.25">
      <c r="A558">
        <v>557</v>
      </c>
      <c r="B558" t="s">
        <v>3785</v>
      </c>
      <c r="C558" t="s">
        <v>75</v>
      </c>
      <c r="D558" t="s">
        <v>1614</v>
      </c>
      <c r="E558" s="7">
        <v>44371</v>
      </c>
      <c r="F558" t="s">
        <v>3786</v>
      </c>
      <c r="G558" t="s">
        <v>3787</v>
      </c>
      <c r="H558" t="s">
        <v>3788</v>
      </c>
      <c r="I558" t="s">
        <v>1639</v>
      </c>
      <c r="J558" t="s">
        <v>397</v>
      </c>
      <c r="K558" s="7">
        <v>31668</v>
      </c>
    </row>
    <row r="559" spans="1:11" x14ac:dyDescent="0.25">
      <c r="A559">
        <v>558</v>
      </c>
      <c r="B559" t="s">
        <v>3789</v>
      </c>
      <c r="C559" t="s">
        <v>75</v>
      </c>
      <c r="D559" t="s">
        <v>1598</v>
      </c>
      <c r="E559" s="7">
        <v>40780</v>
      </c>
      <c r="F559" t="s">
        <v>3790</v>
      </c>
      <c r="G559" t="s">
        <v>3791</v>
      </c>
      <c r="H559" t="s">
        <v>3792</v>
      </c>
      <c r="I559" t="s">
        <v>1639</v>
      </c>
      <c r="J559" t="s">
        <v>1640</v>
      </c>
      <c r="K559" s="7">
        <v>37268</v>
      </c>
    </row>
    <row r="560" spans="1:11" x14ac:dyDescent="0.25">
      <c r="A560">
        <v>559</v>
      </c>
      <c r="B560" t="s">
        <v>3793</v>
      </c>
      <c r="C560" t="s">
        <v>83</v>
      </c>
      <c r="D560" t="s">
        <v>1600</v>
      </c>
      <c r="E560" s="7">
        <v>43068</v>
      </c>
      <c r="F560" t="s">
        <v>3794</v>
      </c>
      <c r="G560" t="s">
        <v>3795</v>
      </c>
      <c r="H560" t="s">
        <v>3796</v>
      </c>
      <c r="I560" t="s">
        <v>1639</v>
      </c>
      <c r="J560" t="s">
        <v>467</v>
      </c>
      <c r="K560" s="7">
        <v>36724</v>
      </c>
    </row>
    <row r="561" spans="1:11" x14ac:dyDescent="0.25">
      <c r="A561">
        <v>560</v>
      </c>
      <c r="B561" t="s">
        <v>3797</v>
      </c>
      <c r="C561" t="s">
        <v>83</v>
      </c>
      <c r="D561" t="s">
        <v>1612</v>
      </c>
      <c r="E561" s="7">
        <v>40944</v>
      </c>
      <c r="F561" t="s">
        <v>3798</v>
      </c>
      <c r="G561" t="s">
        <v>3799</v>
      </c>
      <c r="H561" t="s">
        <v>3800</v>
      </c>
      <c r="I561" t="s">
        <v>1738</v>
      </c>
      <c r="J561" t="s">
        <v>1649</v>
      </c>
      <c r="K561" s="7">
        <v>29955</v>
      </c>
    </row>
    <row r="562" spans="1:11" x14ac:dyDescent="0.25">
      <c r="A562">
        <v>561</v>
      </c>
      <c r="B562" t="s">
        <v>3801</v>
      </c>
      <c r="C562" t="s">
        <v>75</v>
      </c>
      <c r="D562" t="s">
        <v>1604</v>
      </c>
      <c r="E562" s="7">
        <v>43729</v>
      </c>
      <c r="F562" t="s">
        <v>3802</v>
      </c>
      <c r="G562" t="s">
        <v>3803</v>
      </c>
      <c r="H562" t="s">
        <v>3804</v>
      </c>
      <c r="I562" t="s">
        <v>1654</v>
      </c>
      <c r="J562" t="s">
        <v>467</v>
      </c>
      <c r="K562" s="7">
        <v>28726</v>
      </c>
    </row>
    <row r="563" spans="1:11" x14ac:dyDescent="0.25">
      <c r="A563">
        <v>562</v>
      </c>
      <c r="B563" t="s">
        <v>3805</v>
      </c>
      <c r="C563" t="s">
        <v>83</v>
      </c>
      <c r="D563" t="s">
        <v>1610</v>
      </c>
      <c r="E563" s="7">
        <v>45327</v>
      </c>
      <c r="F563" t="s">
        <v>3806</v>
      </c>
      <c r="G563" t="s">
        <v>3807</v>
      </c>
      <c r="H563" t="s">
        <v>3808</v>
      </c>
      <c r="I563" t="s">
        <v>1634</v>
      </c>
      <c r="J563" t="s">
        <v>397</v>
      </c>
      <c r="K563" s="7">
        <v>32351</v>
      </c>
    </row>
    <row r="564" spans="1:11" x14ac:dyDescent="0.25">
      <c r="A564">
        <v>563</v>
      </c>
      <c r="B564" t="s">
        <v>3809</v>
      </c>
      <c r="C564" t="s">
        <v>75</v>
      </c>
      <c r="D564" t="s">
        <v>1596</v>
      </c>
      <c r="E564" s="7">
        <v>42373</v>
      </c>
      <c r="F564" t="s">
        <v>3810</v>
      </c>
      <c r="G564" t="s">
        <v>3811</v>
      </c>
      <c r="H564" t="s">
        <v>3812</v>
      </c>
      <c r="I564" t="s">
        <v>1654</v>
      </c>
      <c r="J564" t="s">
        <v>467</v>
      </c>
      <c r="K564" s="7">
        <v>29898</v>
      </c>
    </row>
    <row r="565" spans="1:11" x14ac:dyDescent="0.25">
      <c r="A565">
        <v>564</v>
      </c>
      <c r="B565" t="s">
        <v>3813</v>
      </c>
      <c r="C565" t="s">
        <v>83</v>
      </c>
      <c r="D565" t="s">
        <v>1600</v>
      </c>
      <c r="E565" s="7">
        <v>41562</v>
      </c>
      <c r="F565" t="s">
        <v>3814</v>
      </c>
      <c r="G565" t="s">
        <v>3815</v>
      </c>
      <c r="H565" t="s">
        <v>3816</v>
      </c>
      <c r="I565" t="s">
        <v>1654</v>
      </c>
      <c r="J565" t="s">
        <v>397</v>
      </c>
      <c r="K565" s="7">
        <v>31472</v>
      </c>
    </row>
    <row r="566" spans="1:11" x14ac:dyDescent="0.25">
      <c r="A566">
        <v>565</v>
      </c>
      <c r="B566" t="s">
        <v>3817</v>
      </c>
      <c r="C566" t="s">
        <v>75</v>
      </c>
      <c r="D566" t="s">
        <v>1600</v>
      </c>
      <c r="E566" s="7">
        <v>44769</v>
      </c>
      <c r="F566" t="s">
        <v>3818</v>
      </c>
      <c r="G566" t="s">
        <v>3819</v>
      </c>
      <c r="H566" t="s">
        <v>3820</v>
      </c>
      <c r="I566" t="s">
        <v>1634</v>
      </c>
      <c r="J566" t="s">
        <v>1640</v>
      </c>
      <c r="K566" s="7">
        <v>34307</v>
      </c>
    </row>
    <row r="567" spans="1:11" x14ac:dyDescent="0.25">
      <c r="A567">
        <v>566</v>
      </c>
      <c r="B567" t="s">
        <v>3821</v>
      </c>
      <c r="C567" t="s">
        <v>83</v>
      </c>
      <c r="D567" t="s">
        <v>1600</v>
      </c>
      <c r="E567" s="7">
        <v>42979</v>
      </c>
      <c r="F567" t="s">
        <v>3822</v>
      </c>
      <c r="G567" t="s">
        <v>3823</v>
      </c>
      <c r="H567" t="s">
        <v>3824</v>
      </c>
      <c r="I567" t="s">
        <v>1639</v>
      </c>
      <c r="J567" t="s">
        <v>1663</v>
      </c>
      <c r="K567" s="7">
        <v>33414</v>
      </c>
    </row>
    <row r="568" spans="1:11" x14ac:dyDescent="0.25">
      <c r="A568">
        <v>567</v>
      </c>
      <c r="B568" t="s">
        <v>3825</v>
      </c>
      <c r="C568" t="s">
        <v>83</v>
      </c>
      <c r="D568" t="s">
        <v>1614</v>
      </c>
      <c r="E568" s="7">
        <v>42734</v>
      </c>
      <c r="F568" t="s">
        <v>3826</v>
      </c>
      <c r="G568" t="s">
        <v>3827</v>
      </c>
      <c r="H568" t="s">
        <v>3828</v>
      </c>
      <c r="I568" t="s">
        <v>1738</v>
      </c>
      <c r="J568" t="s">
        <v>1640</v>
      </c>
      <c r="K568" s="7">
        <v>30575</v>
      </c>
    </row>
    <row r="569" spans="1:11" x14ac:dyDescent="0.25">
      <c r="A569">
        <v>568</v>
      </c>
      <c r="B569" t="s">
        <v>3829</v>
      </c>
      <c r="C569" t="s">
        <v>83</v>
      </c>
      <c r="D569" t="s">
        <v>1598</v>
      </c>
      <c r="E569" s="7">
        <v>44263</v>
      </c>
      <c r="F569" t="s">
        <v>3830</v>
      </c>
      <c r="G569" t="s">
        <v>3831</v>
      </c>
      <c r="H569" t="s">
        <v>3832</v>
      </c>
      <c r="I569" t="s">
        <v>1645</v>
      </c>
      <c r="J569" t="s">
        <v>467</v>
      </c>
      <c r="K569" s="7">
        <v>29390</v>
      </c>
    </row>
    <row r="570" spans="1:11" x14ac:dyDescent="0.25">
      <c r="A570">
        <v>569</v>
      </c>
      <c r="B570" t="s">
        <v>3833</v>
      </c>
      <c r="C570" t="s">
        <v>83</v>
      </c>
      <c r="D570" t="s">
        <v>1606</v>
      </c>
      <c r="E570" s="7">
        <v>45149</v>
      </c>
      <c r="F570" t="s">
        <v>3834</v>
      </c>
      <c r="G570">
        <v>572443143</v>
      </c>
      <c r="H570" t="s">
        <v>3835</v>
      </c>
      <c r="I570" t="s">
        <v>1639</v>
      </c>
      <c r="J570" t="s">
        <v>1640</v>
      </c>
      <c r="K570" s="7">
        <v>24440</v>
      </c>
    </row>
    <row r="571" spans="1:11" x14ac:dyDescent="0.25">
      <c r="A571">
        <v>570</v>
      </c>
      <c r="B571" t="s">
        <v>3836</v>
      </c>
      <c r="C571" t="s">
        <v>75</v>
      </c>
      <c r="D571" t="s">
        <v>1604</v>
      </c>
      <c r="E571" s="7">
        <v>41619</v>
      </c>
      <c r="F571" t="s">
        <v>3837</v>
      </c>
      <c r="G571" t="s">
        <v>3838</v>
      </c>
      <c r="H571" t="s">
        <v>3839</v>
      </c>
      <c r="I571" t="s">
        <v>1654</v>
      </c>
      <c r="J571" t="s">
        <v>1649</v>
      </c>
      <c r="K571" s="7">
        <v>23865</v>
      </c>
    </row>
    <row r="572" spans="1:11" x14ac:dyDescent="0.25">
      <c r="A572">
        <v>571</v>
      </c>
      <c r="B572" t="s">
        <v>7</v>
      </c>
      <c r="C572" t="s">
        <v>83</v>
      </c>
      <c r="D572" t="s">
        <v>1604</v>
      </c>
      <c r="E572" s="7">
        <v>45201</v>
      </c>
      <c r="F572" t="s">
        <v>3840</v>
      </c>
      <c r="G572" t="s">
        <v>3841</v>
      </c>
      <c r="H572" t="s">
        <v>3842</v>
      </c>
      <c r="I572" t="s">
        <v>1654</v>
      </c>
      <c r="J572" t="s">
        <v>397</v>
      </c>
      <c r="K572" s="7">
        <v>28270</v>
      </c>
    </row>
    <row r="573" spans="1:11" x14ac:dyDescent="0.25">
      <c r="A573">
        <v>572</v>
      </c>
      <c r="B573" t="s">
        <v>3843</v>
      </c>
      <c r="C573" t="s">
        <v>75</v>
      </c>
      <c r="D573" t="s">
        <v>1606</v>
      </c>
      <c r="E573" s="7">
        <v>45024</v>
      </c>
      <c r="F573" t="s">
        <v>3844</v>
      </c>
      <c r="G573" t="s">
        <v>3845</v>
      </c>
      <c r="H573" t="s">
        <v>3846</v>
      </c>
      <c r="I573" t="s">
        <v>1645</v>
      </c>
      <c r="J573" t="s">
        <v>1640</v>
      </c>
      <c r="K573" s="7">
        <v>29036</v>
      </c>
    </row>
    <row r="574" spans="1:11" x14ac:dyDescent="0.25">
      <c r="A574">
        <v>573</v>
      </c>
      <c r="B574" t="s">
        <v>3847</v>
      </c>
      <c r="C574" t="s">
        <v>75</v>
      </c>
      <c r="D574" t="s">
        <v>1602</v>
      </c>
      <c r="E574" s="7">
        <v>42134</v>
      </c>
      <c r="F574" t="s">
        <v>3848</v>
      </c>
      <c r="G574" t="s">
        <v>3849</v>
      </c>
      <c r="H574" t="s">
        <v>3850</v>
      </c>
      <c r="I574" t="s">
        <v>1654</v>
      </c>
      <c r="J574" t="s">
        <v>1649</v>
      </c>
      <c r="K574" s="7">
        <v>26795</v>
      </c>
    </row>
    <row r="575" spans="1:11" x14ac:dyDescent="0.25">
      <c r="A575">
        <v>574</v>
      </c>
      <c r="B575" t="s">
        <v>3851</v>
      </c>
      <c r="C575" t="s">
        <v>75</v>
      </c>
      <c r="D575" t="s">
        <v>1614</v>
      </c>
      <c r="E575" s="7">
        <v>43925</v>
      </c>
      <c r="F575" t="s">
        <v>3852</v>
      </c>
      <c r="G575" t="s">
        <v>3853</v>
      </c>
      <c r="H575" t="s">
        <v>3854</v>
      </c>
      <c r="I575" t="s">
        <v>1639</v>
      </c>
      <c r="J575" t="s">
        <v>1640</v>
      </c>
      <c r="K575" s="7">
        <v>35536</v>
      </c>
    </row>
    <row r="576" spans="1:11" x14ac:dyDescent="0.25">
      <c r="A576">
        <v>575</v>
      </c>
      <c r="B576" t="s">
        <v>3855</v>
      </c>
      <c r="C576" t="s">
        <v>83</v>
      </c>
      <c r="D576" t="s">
        <v>1612</v>
      </c>
      <c r="E576" s="7">
        <v>41463</v>
      </c>
      <c r="F576" t="s">
        <v>3856</v>
      </c>
      <c r="G576" t="s">
        <v>3857</v>
      </c>
      <c r="H576" t="s">
        <v>3858</v>
      </c>
      <c r="I576" t="s">
        <v>1634</v>
      </c>
      <c r="J576" t="s">
        <v>467</v>
      </c>
      <c r="K576" s="7">
        <v>30713</v>
      </c>
    </row>
    <row r="577" spans="1:11" x14ac:dyDescent="0.25">
      <c r="A577">
        <v>576</v>
      </c>
      <c r="B577" t="s">
        <v>3859</v>
      </c>
      <c r="C577" t="s">
        <v>83</v>
      </c>
      <c r="D577" t="s">
        <v>1606</v>
      </c>
      <c r="E577" s="7">
        <v>45089</v>
      </c>
      <c r="F577" t="s">
        <v>3860</v>
      </c>
      <c r="G577">
        <f>1-385-468-6304</f>
        <v>-7156</v>
      </c>
      <c r="H577" t="s">
        <v>3861</v>
      </c>
      <c r="I577" t="s">
        <v>1738</v>
      </c>
      <c r="J577" t="s">
        <v>467</v>
      </c>
      <c r="K577" s="7">
        <v>34727</v>
      </c>
    </row>
    <row r="578" spans="1:11" x14ac:dyDescent="0.25">
      <c r="A578">
        <v>577</v>
      </c>
      <c r="B578" t="s">
        <v>3862</v>
      </c>
      <c r="C578" t="s">
        <v>75</v>
      </c>
      <c r="D578" t="s">
        <v>1604</v>
      </c>
      <c r="E578" s="7">
        <v>42730</v>
      </c>
      <c r="F578" t="s">
        <v>3863</v>
      </c>
      <c r="G578" t="s">
        <v>3864</v>
      </c>
      <c r="H578" t="s">
        <v>3865</v>
      </c>
      <c r="I578" t="s">
        <v>1639</v>
      </c>
      <c r="J578" t="s">
        <v>1649</v>
      </c>
      <c r="K578" s="7">
        <v>30545</v>
      </c>
    </row>
    <row r="579" spans="1:11" x14ac:dyDescent="0.25">
      <c r="A579">
        <v>578</v>
      </c>
      <c r="B579" t="s">
        <v>3866</v>
      </c>
      <c r="C579" t="s">
        <v>83</v>
      </c>
      <c r="D579" t="s">
        <v>1600</v>
      </c>
      <c r="E579" s="7">
        <v>40647</v>
      </c>
      <c r="F579" t="s">
        <v>3867</v>
      </c>
      <c r="G579" t="s">
        <v>3868</v>
      </c>
      <c r="H579" t="s">
        <v>3869</v>
      </c>
      <c r="I579" t="s">
        <v>1738</v>
      </c>
      <c r="J579" t="s">
        <v>1640</v>
      </c>
      <c r="K579" s="7">
        <v>33121</v>
      </c>
    </row>
    <row r="580" spans="1:11" x14ac:dyDescent="0.25">
      <c r="A580">
        <v>579</v>
      </c>
      <c r="B580" t="s">
        <v>3870</v>
      </c>
      <c r="C580" t="s">
        <v>75</v>
      </c>
      <c r="D580" t="s">
        <v>1596</v>
      </c>
      <c r="E580" s="7">
        <v>44058</v>
      </c>
      <c r="F580" t="s">
        <v>3871</v>
      </c>
      <c r="G580">
        <v>6668201093</v>
      </c>
      <c r="H580" t="s">
        <v>3872</v>
      </c>
      <c r="I580" t="s">
        <v>1639</v>
      </c>
      <c r="J580" t="s">
        <v>397</v>
      </c>
      <c r="K580" s="7">
        <v>25833</v>
      </c>
    </row>
    <row r="581" spans="1:11" x14ac:dyDescent="0.25">
      <c r="A581">
        <v>580</v>
      </c>
      <c r="B581" t="s">
        <v>3873</v>
      </c>
      <c r="C581" t="s">
        <v>75</v>
      </c>
      <c r="D581" t="s">
        <v>1600</v>
      </c>
      <c r="E581" s="7">
        <v>41320</v>
      </c>
      <c r="F581" t="s">
        <v>3874</v>
      </c>
      <c r="G581" t="s">
        <v>3875</v>
      </c>
      <c r="H581" t="s">
        <v>3876</v>
      </c>
      <c r="I581" t="s">
        <v>1738</v>
      </c>
      <c r="J581" t="s">
        <v>1649</v>
      </c>
      <c r="K581" s="7">
        <v>29621</v>
      </c>
    </row>
    <row r="582" spans="1:11" x14ac:dyDescent="0.25">
      <c r="A582">
        <v>581</v>
      </c>
      <c r="B582" t="s">
        <v>3877</v>
      </c>
      <c r="C582" t="s">
        <v>75</v>
      </c>
      <c r="D582" t="s">
        <v>1614</v>
      </c>
      <c r="E582" s="7">
        <v>45322</v>
      </c>
      <c r="F582" t="s">
        <v>3878</v>
      </c>
      <c r="G582" t="s">
        <v>3879</v>
      </c>
      <c r="H582" t="s">
        <v>3880</v>
      </c>
      <c r="I582" t="s">
        <v>1654</v>
      </c>
      <c r="J582" t="s">
        <v>1640</v>
      </c>
      <c r="K582" s="7">
        <v>28330</v>
      </c>
    </row>
    <row r="583" spans="1:11" x14ac:dyDescent="0.25">
      <c r="A583">
        <v>582</v>
      </c>
      <c r="B583" t="s">
        <v>3881</v>
      </c>
      <c r="C583" t="s">
        <v>83</v>
      </c>
      <c r="D583" t="s">
        <v>1598</v>
      </c>
      <c r="E583" s="7">
        <v>43154</v>
      </c>
      <c r="F583" t="s">
        <v>3882</v>
      </c>
      <c r="G583" t="s">
        <v>3883</v>
      </c>
      <c r="H583" t="s">
        <v>3884</v>
      </c>
      <c r="I583" t="s">
        <v>1738</v>
      </c>
      <c r="J583" t="s">
        <v>1649</v>
      </c>
      <c r="K583" s="7">
        <v>37059</v>
      </c>
    </row>
    <row r="584" spans="1:11" x14ac:dyDescent="0.25">
      <c r="A584">
        <v>583</v>
      </c>
      <c r="B584" t="s">
        <v>3885</v>
      </c>
      <c r="C584" t="s">
        <v>83</v>
      </c>
      <c r="D584" t="s">
        <v>1596</v>
      </c>
      <c r="E584" s="7">
        <v>38666</v>
      </c>
      <c r="F584" t="s">
        <v>3886</v>
      </c>
      <c r="G584" t="s">
        <v>3887</v>
      </c>
      <c r="H584" t="s">
        <v>3888</v>
      </c>
      <c r="I584" t="s">
        <v>1645</v>
      </c>
      <c r="J584" t="s">
        <v>467</v>
      </c>
      <c r="K584" s="7">
        <v>36078</v>
      </c>
    </row>
    <row r="585" spans="1:11" x14ac:dyDescent="0.25">
      <c r="A585">
        <v>584</v>
      </c>
      <c r="B585" t="s">
        <v>3889</v>
      </c>
      <c r="C585" t="s">
        <v>75</v>
      </c>
      <c r="D585" t="s">
        <v>1612</v>
      </c>
      <c r="E585" s="7">
        <v>38710</v>
      </c>
      <c r="F585" t="s">
        <v>3890</v>
      </c>
      <c r="G585" t="s">
        <v>3891</v>
      </c>
      <c r="H585" t="s">
        <v>3892</v>
      </c>
      <c r="I585" t="s">
        <v>1654</v>
      </c>
      <c r="J585" t="s">
        <v>1649</v>
      </c>
      <c r="K585" s="7">
        <v>32948</v>
      </c>
    </row>
    <row r="586" spans="1:11" x14ac:dyDescent="0.25">
      <c r="A586">
        <v>585</v>
      </c>
      <c r="B586" t="s">
        <v>3893</v>
      </c>
      <c r="C586" t="s">
        <v>75</v>
      </c>
      <c r="D586" t="s">
        <v>1596</v>
      </c>
      <c r="E586" s="7">
        <v>40766</v>
      </c>
      <c r="F586" t="s">
        <v>3894</v>
      </c>
      <c r="G586" t="s">
        <v>3895</v>
      </c>
      <c r="H586" t="s">
        <v>3896</v>
      </c>
      <c r="I586" t="s">
        <v>1634</v>
      </c>
      <c r="J586" t="s">
        <v>1663</v>
      </c>
      <c r="K586" s="7">
        <v>37027</v>
      </c>
    </row>
    <row r="587" spans="1:11" x14ac:dyDescent="0.25">
      <c r="A587">
        <v>586</v>
      </c>
      <c r="B587" t="s">
        <v>3897</v>
      </c>
      <c r="C587" t="s">
        <v>75</v>
      </c>
      <c r="D587" t="s">
        <v>1612</v>
      </c>
      <c r="E587" s="7">
        <v>42351</v>
      </c>
      <c r="F587" t="s">
        <v>3898</v>
      </c>
      <c r="G587" t="s">
        <v>3899</v>
      </c>
      <c r="H587" t="s">
        <v>3900</v>
      </c>
      <c r="I587" t="s">
        <v>1645</v>
      </c>
      <c r="J587" t="s">
        <v>397</v>
      </c>
      <c r="K587" s="7">
        <v>30934</v>
      </c>
    </row>
    <row r="588" spans="1:11" x14ac:dyDescent="0.25">
      <c r="A588">
        <v>587</v>
      </c>
      <c r="B588" t="s">
        <v>3901</v>
      </c>
      <c r="C588" t="s">
        <v>75</v>
      </c>
      <c r="D588" t="s">
        <v>1596</v>
      </c>
      <c r="E588" s="7">
        <v>39188</v>
      </c>
      <c r="F588" t="s">
        <v>3902</v>
      </c>
      <c r="G588" t="s">
        <v>3903</v>
      </c>
      <c r="H588" t="s">
        <v>3904</v>
      </c>
      <c r="I588" t="s">
        <v>1639</v>
      </c>
      <c r="J588" t="s">
        <v>1663</v>
      </c>
      <c r="K588" s="7">
        <v>23981</v>
      </c>
    </row>
    <row r="589" spans="1:11" x14ac:dyDescent="0.25">
      <c r="A589">
        <v>588</v>
      </c>
      <c r="B589" t="s">
        <v>3905</v>
      </c>
      <c r="C589" t="s">
        <v>75</v>
      </c>
      <c r="D589" t="s">
        <v>1614</v>
      </c>
      <c r="E589" s="7">
        <v>41717</v>
      </c>
      <c r="F589" t="s">
        <v>3906</v>
      </c>
      <c r="G589" t="s">
        <v>3907</v>
      </c>
      <c r="H589" t="s">
        <v>3908</v>
      </c>
      <c r="I589" t="s">
        <v>1738</v>
      </c>
      <c r="J589" t="s">
        <v>1663</v>
      </c>
      <c r="K589" s="7">
        <v>29896</v>
      </c>
    </row>
    <row r="590" spans="1:11" x14ac:dyDescent="0.25">
      <c r="A590">
        <v>589</v>
      </c>
      <c r="B590" t="s">
        <v>3909</v>
      </c>
      <c r="C590" t="s">
        <v>83</v>
      </c>
      <c r="D590" t="s">
        <v>1614</v>
      </c>
      <c r="E590" s="7">
        <v>42313</v>
      </c>
      <c r="F590" t="s">
        <v>3910</v>
      </c>
      <c r="G590" t="s">
        <v>3911</v>
      </c>
      <c r="H590" t="s">
        <v>3912</v>
      </c>
      <c r="I590" t="s">
        <v>1645</v>
      </c>
      <c r="J590" t="s">
        <v>467</v>
      </c>
      <c r="K590" s="7">
        <v>36348</v>
      </c>
    </row>
    <row r="591" spans="1:11" x14ac:dyDescent="0.25">
      <c r="A591">
        <v>590</v>
      </c>
      <c r="B591" t="s">
        <v>3913</v>
      </c>
      <c r="C591" t="s">
        <v>75</v>
      </c>
      <c r="D591" t="s">
        <v>1604</v>
      </c>
      <c r="E591" s="7">
        <v>39656</v>
      </c>
      <c r="F591" t="s">
        <v>3914</v>
      </c>
      <c r="G591" t="s">
        <v>3915</v>
      </c>
      <c r="H591" t="s">
        <v>3916</v>
      </c>
      <c r="I591" t="s">
        <v>1654</v>
      </c>
      <c r="J591" t="s">
        <v>397</v>
      </c>
      <c r="K591" s="7">
        <v>33436</v>
      </c>
    </row>
    <row r="592" spans="1:11" x14ac:dyDescent="0.25">
      <c r="A592">
        <v>591</v>
      </c>
      <c r="B592" t="s">
        <v>3917</v>
      </c>
      <c r="C592" t="s">
        <v>83</v>
      </c>
      <c r="D592" t="s">
        <v>1604</v>
      </c>
      <c r="E592" s="7">
        <v>41520</v>
      </c>
      <c r="F592" t="s">
        <v>3918</v>
      </c>
      <c r="G592" t="s">
        <v>3919</v>
      </c>
      <c r="H592" t="s">
        <v>3920</v>
      </c>
      <c r="I592" t="s">
        <v>1645</v>
      </c>
      <c r="J592" t="s">
        <v>1663</v>
      </c>
      <c r="K592" s="7">
        <v>26400</v>
      </c>
    </row>
    <row r="593" spans="1:11" x14ac:dyDescent="0.25">
      <c r="A593">
        <v>592</v>
      </c>
      <c r="B593" t="s">
        <v>3921</v>
      </c>
      <c r="C593" t="s">
        <v>75</v>
      </c>
      <c r="D593" t="s">
        <v>1606</v>
      </c>
      <c r="E593" s="7">
        <v>39791</v>
      </c>
      <c r="F593" t="s">
        <v>3922</v>
      </c>
      <c r="G593" t="s">
        <v>3923</v>
      </c>
      <c r="H593" t="s">
        <v>3924</v>
      </c>
      <c r="I593" t="s">
        <v>1645</v>
      </c>
      <c r="J593" t="s">
        <v>397</v>
      </c>
      <c r="K593" s="7">
        <v>28883</v>
      </c>
    </row>
    <row r="594" spans="1:11" x14ac:dyDescent="0.25">
      <c r="A594">
        <v>593</v>
      </c>
      <c r="B594" t="s">
        <v>3925</v>
      </c>
      <c r="C594" t="s">
        <v>75</v>
      </c>
      <c r="D594" t="s">
        <v>1596</v>
      </c>
      <c r="E594" s="7">
        <v>43448</v>
      </c>
      <c r="F594" t="s">
        <v>3926</v>
      </c>
      <c r="G594" t="s">
        <v>3927</v>
      </c>
      <c r="H594" t="s">
        <v>3928</v>
      </c>
      <c r="I594" t="s">
        <v>1639</v>
      </c>
      <c r="J594" t="s">
        <v>1663</v>
      </c>
      <c r="K594" s="7">
        <v>29186</v>
      </c>
    </row>
    <row r="595" spans="1:11" x14ac:dyDescent="0.25">
      <c r="A595">
        <v>594</v>
      </c>
      <c r="B595" t="s">
        <v>3929</v>
      </c>
      <c r="C595" t="s">
        <v>75</v>
      </c>
      <c r="D595" t="s">
        <v>1608</v>
      </c>
      <c r="E595" s="7">
        <v>43157</v>
      </c>
      <c r="F595" t="s">
        <v>3930</v>
      </c>
      <c r="G595" t="s">
        <v>3931</v>
      </c>
      <c r="H595" t="s">
        <v>3932</v>
      </c>
      <c r="I595" t="s">
        <v>1645</v>
      </c>
      <c r="J595" t="s">
        <v>397</v>
      </c>
      <c r="K595" s="7">
        <v>29660</v>
      </c>
    </row>
    <row r="596" spans="1:11" x14ac:dyDescent="0.25">
      <c r="A596">
        <v>595</v>
      </c>
      <c r="B596" t="s">
        <v>3933</v>
      </c>
      <c r="C596" t="s">
        <v>83</v>
      </c>
      <c r="D596" t="s">
        <v>1598</v>
      </c>
      <c r="E596" s="7">
        <v>41765</v>
      </c>
      <c r="F596" t="s">
        <v>3934</v>
      </c>
      <c r="G596" t="s">
        <v>3935</v>
      </c>
      <c r="H596" t="s">
        <v>3936</v>
      </c>
      <c r="I596" t="s">
        <v>1654</v>
      </c>
      <c r="J596" t="s">
        <v>1663</v>
      </c>
      <c r="K596" s="7">
        <v>36188</v>
      </c>
    </row>
    <row r="597" spans="1:11" x14ac:dyDescent="0.25">
      <c r="A597">
        <v>596</v>
      </c>
      <c r="B597" t="s">
        <v>3937</v>
      </c>
      <c r="C597" t="s">
        <v>75</v>
      </c>
      <c r="D597" t="s">
        <v>1608</v>
      </c>
      <c r="E597" s="7">
        <v>42302</v>
      </c>
      <c r="F597" t="s">
        <v>3938</v>
      </c>
      <c r="G597">
        <v>7785159567</v>
      </c>
      <c r="H597" t="s">
        <v>3939</v>
      </c>
      <c r="I597" t="s">
        <v>1654</v>
      </c>
      <c r="J597" t="s">
        <v>467</v>
      </c>
      <c r="K597" s="7">
        <v>33706</v>
      </c>
    </row>
    <row r="598" spans="1:11" x14ac:dyDescent="0.25">
      <c r="A598">
        <v>597</v>
      </c>
      <c r="B598" t="s">
        <v>3940</v>
      </c>
      <c r="C598" t="s">
        <v>83</v>
      </c>
      <c r="D598" t="s">
        <v>1602</v>
      </c>
      <c r="E598" s="7">
        <v>41952</v>
      </c>
      <c r="F598" t="s">
        <v>3941</v>
      </c>
      <c r="G598" t="s">
        <v>3942</v>
      </c>
      <c r="H598" t="s">
        <v>3943</v>
      </c>
      <c r="I598" t="s">
        <v>1645</v>
      </c>
      <c r="J598" t="s">
        <v>1649</v>
      </c>
      <c r="K598" s="7">
        <v>27298</v>
      </c>
    </row>
    <row r="599" spans="1:11" x14ac:dyDescent="0.25">
      <c r="A599">
        <v>598</v>
      </c>
      <c r="B599" t="s">
        <v>3944</v>
      </c>
      <c r="C599" t="s">
        <v>83</v>
      </c>
      <c r="D599" t="s">
        <v>1602</v>
      </c>
      <c r="E599" s="7">
        <v>43924</v>
      </c>
      <c r="F599" t="s">
        <v>3945</v>
      </c>
      <c r="G599" t="s">
        <v>3946</v>
      </c>
      <c r="H599" t="s">
        <v>3947</v>
      </c>
      <c r="I599" t="s">
        <v>1645</v>
      </c>
      <c r="J599" t="s">
        <v>1663</v>
      </c>
      <c r="K599" s="7">
        <v>35692</v>
      </c>
    </row>
    <row r="600" spans="1:11" x14ac:dyDescent="0.25">
      <c r="A600">
        <v>599</v>
      </c>
      <c r="B600" t="s">
        <v>3948</v>
      </c>
      <c r="C600" t="s">
        <v>83</v>
      </c>
      <c r="D600" t="s">
        <v>1608</v>
      </c>
      <c r="E600" s="7">
        <v>39947</v>
      </c>
      <c r="F600" t="s">
        <v>3949</v>
      </c>
      <c r="G600" t="s">
        <v>3950</v>
      </c>
      <c r="H600" t="s">
        <v>3951</v>
      </c>
      <c r="I600" t="s">
        <v>1645</v>
      </c>
      <c r="J600" t="s">
        <v>1649</v>
      </c>
      <c r="K600" s="7">
        <v>29875</v>
      </c>
    </row>
    <row r="601" spans="1:11" x14ac:dyDescent="0.25">
      <c r="A601">
        <v>600</v>
      </c>
      <c r="B601" t="s">
        <v>3952</v>
      </c>
      <c r="C601" t="s">
        <v>75</v>
      </c>
      <c r="D601" t="s">
        <v>1600</v>
      </c>
      <c r="E601" s="7">
        <v>43393</v>
      </c>
      <c r="F601" t="s">
        <v>3953</v>
      </c>
      <c r="G601" t="s">
        <v>3954</v>
      </c>
      <c r="H601" t="s">
        <v>3955</v>
      </c>
      <c r="I601" t="s">
        <v>1654</v>
      </c>
      <c r="J601" t="s">
        <v>1649</v>
      </c>
      <c r="K601" s="7">
        <v>35656</v>
      </c>
    </row>
    <row r="602" spans="1:11" x14ac:dyDescent="0.25">
      <c r="A602">
        <v>601</v>
      </c>
      <c r="B602" t="s">
        <v>3956</v>
      </c>
      <c r="C602" t="s">
        <v>83</v>
      </c>
      <c r="D602" t="s">
        <v>1596</v>
      </c>
      <c r="E602" s="7">
        <v>39383</v>
      </c>
      <c r="F602" t="s">
        <v>3957</v>
      </c>
      <c r="G602" t="s">
        <v>3958</v>
      </c>
      <c r="H602" t="s">
        <v>3959</v>
      </c>
      <c r="I602" t="s">
        <v>1738</v>
      </c>
      <c r="J602" t="s">
        <v>1663</v>
      </c>
      <c r="K602" s="7">
        <v>29704</v>
      </c>
    </row>
    <row r="603" spans="1:11" x14ac:dyDescent="0.25">
      <c r="A603">
        <v>602</v>
      </c>
      <c r="B603" t="s">
        <v>3960</v>
      </c>
      <c r="C603" t="s">
        <v>75</v>
      </c>
      <c r="D603" t="s">
        <v>1600</v>
      </c>
      <c r="E603" s="7">
        <v>44821</v>
      </c>
      <c r="F603" t="s">
        <v>3961</v>
      </c>
      <c r="G603" t="s">
        <v>3962</v>
      </c>
      <c r="H603" t="s">
        <v>3963</v>
      </c>
      <c r="I603" t="s">
        <v>1645</v>
      </c>
      <c r="J603" t="s">
        <v>1663</v>
      </c>
      <c r="K603" s="7">
        <v>29127</v>
      </c>
    </row>
    <row r="604" spans="1:11" x14ac:dyDescent="0.25">
      <c r="A604">
        <v>603</v>
      </c>
      <c r="B604" t="s">
        <v>3964</v>
      </c>
      <c r="C604" t="s">
        <v>75</v>
      </c>
      <c r="D604" t="s">
        <v>1614</v>
      </c>
      <c r="E604" s="7">
        <v>42391</v>
      </c>
      <c r="F604" t="s">
        <v>3965</v>
      </c>
      <c r="G604" t="s">
        <v>3966</v>
      </c>
      <c r="H604" t="s">
        <v>3967</v>
      </c>
      <c r="I604" t="s">
        <v>1634</v>
      </c>
      <c r="J604" t="s">
        <v>1663</v>
      </c>
      <c r="K604" s="7">
        <v>24068</v>
      </c>
    </row>
    <row r="605" spans="1:11" x14ac:dyDescent="0.25">
      <c r="A605">
        <v>604</v>
      </c>
      <c r="B605" t="s">
        <v>3968</v>
      </c>
      <c r="C605" t="s">
        <v>83</v>
      </c>
      <c r="D605" t="s">
        <v>1602</v>
      </c>
      <c r="E605" s="7">
        <v>38749</v>
      </c>
      <c r="F605" t="s">
        <v>3969</v>
      </c>
      <c r="G605" t="s">
        <v>3970</v>
      </c>
      <c r="H605" t="s">
        <v>3971</v>
      </c>
      <c r="I605" t="s">
        <v>1738</v>
      </c>
      <c r="J605" t="s">
        <v>1640</v>
      </c>
      <c r="K605" s="7">
        <v>28835</v>
      </c>
    </row>
    <row r="606" spans="1:11" x14ac:dyDescent="0.25">
      <c r="A606">
        <v>605</v>
      </c>
      <c r="B606" t="s">
        <v>3972</v>
      </c>
      <c r="C606" t="s">
        <v>75</v>
      </c>
      <c r="D606" t="s">
        <v>1604</v>
      </c>
      <c r="E606" s="7">
        <v>41086</v>
      </c>
      <c r="F606" t="s">
        <v>3973</v>
      </c>
      <c r="G606" t="s">
        <v>3974</v>
      </c>
      <c r="H606" t="s">
        <v>3975</v>
      </c>
      <c r="I606" t="s">
        <v>1639</v>
      </c>
      <c r="J606" t="s">
        <v>397</v>
      </c>
      <c r="K606" s="7">
        <v>27858</v>
      </c>
    </row>
    <row r="607" spans="1:11" x14ac:dyDescent="0.25">
      <c r="A607">
        <v>606</v>
      </c>
      <c r="B607" t="s">
        <v>3976</v>
      </c>
      <c r="C607" t="s">
        <v>83</v>
      </c>
      <c r="D607" t="s">
        <v>1608</v>
      </c>
      <c r="E607" s="7">
        <v>38671</v>
      </c>
      <c r="F607" t="s">
        <v>3977</v>
      </c>
      <c r="G607">
        <v>2605084064</v>
      </c>
      <c r="H607" t="s">
        <v>3978</v>
      </c>
      <c r="I607" t="s">
        <v>1639</v>
      </c>
      <c r="J607" t="s">
        <v>1663</v>
      </c>
      <c r="K607" s="7">
        <v>26437</v>
      </c>
    </row>
    <row r="608" spans="1:11" x14ac:dyDescent="0.25">
      <c r="A608">
        <v>607</v>
      </c>
      <c r="B608" t="s">
        <v>3979</v>
      </c>
      <c r="C608" t="s">
        <v>83</v>
      </c>
      <c r="D608" t="s">
        <v>1614</v>
      </c>
      <c r="E608" s="7">
        <v>42576</v>
      </c>
      <c r="F608" t="s">
        <v>3980</v>
      </c>
      <c r="G608" t="s">
        <v>3981</v>
      </c>
      <c r="H608" t="s">
        <v>3982</v>
      </c>
      <c r="I608" t="s">
        <v>1738</v>
      </c>
      <c r="J608" t="s">
        <v>1640</v>
      </c>
      <c r="K608" s="7">
        <v>31073</v>
      </c>
    </row>
    <row r="609" spans="1:11" x14ac:dyDescent="0.25">
      <c r="A609">
        <v>608</v>
      </c>
      <c r="B609" t="s">
        <v>3983</v>
      </c>
      <c r="C609" t="s">
        <v>83</v>
      </c>
      <c r="D609" t="s">
        <v>1614</v>
      </c>
      <c r="E609" s="7">
        <v>42109</v>
      </c>
      <c r="F609" t="s">
        <v>3984</v>
      </c>
      <c r="G609">
        <f>1-904-698-9644</f>
        <v>-11245</v>
      </c>
      <c r="H609" t="s">
        <v>3985</v>
      </c>
      <c r="I609" t="s">
        <v>1634</v>
      </c>
      <c r="J609" t="s">
        <v>1640</v>
      </c>
      <c r="K609" s="7">
        <v>30377</v>
      </c>
    </row>
    <row r="610" spans="1:11" x14ac:dyDescent="0.25">
      <c r="A610">
        <v>609</v>
      </c>
      <c r="B610" t="s">
        <v>3986</v>
      </c>
      <c r="C610" t="s">
        <v>75</v>
      </c>
      <c r="D610" t="s">
        <v>1598</v>
      </c>
      <c r="E610" s="7">
        <v>39836</v>
      </c>
      <c r="F610" t="s">
        <v>3987</v>
      </c>
      <c r="G610" t="s">
        <v>3988</v>
      </c>
      <c r="H610" t="s">
        <v>3989</v>
      </c>
      <c r="I610" t="s">
        <v>1634</v>
      </c>
      <c r="J610" t="s">
        <v>1649</v>
      </c>
      <c r="K610" s="7">
        <v>34406</v>
      </c>
    </row>
    <row r="611" spans="1:11" x14ac:dyDescent="0.25">
      <c r="A611">
        <v>610</v>
      </c>
      <c r="B611" t="s">
        <v>3990</v>
      </c>
      <c r="C611" t="s">
        <v>75</v>
      </c>
      <c r="D611" t="s">
        <v>1596</v>
      </c>
      <c r="E611" s="7">
        <v>40103</v>
      </c>
      <c r="F611" t="s">
        <v>3991</v>
      </c>
      <c r="G611" t="s">
        <v>3992</v>
      </c>
      <c r="H611" t="s">
        <v>3993</v>
      </c>
      <c r="I611" t="s">
        <v>1738</v>
      </c>
      <c r="J611" t="s">
        <v>397</v>
      </c>
      <c r="K611" s="7">
        <v>25205</v>
      </c>
    </row>
    <row r="612" spans="1:11" x14ac:dyDescent="0.25">
      <c r="A612">
        <v>611</v>
      </c>
      <c r="B612" t="s">
        <v>3994</v>
      </c>
      <c r="C612" t="s">
        <v>83</v>
      </c>
      <c r="D612" t="s">
        <v>1610</v>
      </c>
      <c r="E612" s="7">
        <v>41349</v>
      </c>
      <c r="F612" t="s">
        <v>3995</v>
      </c>
      <c r="G612" t="s">
        <v>3996</v>
      </c>
      <c r="H612" t="s">
        <v>3997</v>
      </c>
      <c r="I612" t="s">
        <v>1634</v>
      </c>
      <c r="J612" t="s">
        <v>1663</v>
      </c>
      <c r="K612" s="7">
        <v>35084</v>
      </c>
    </row>
    <row r="613" spans="1:11" x14ac:dyDescent="0.25">
      <c r="A613">
        <v>612</v>
      </c>
      <c r="B613" t="s">
        <v>3998</v>
      </c>
      <c r="C613" t="s">
        <v>75</v>
      </c>
      <c r="D613" t="s">
        <v>1596</v>
      </c>
      <c r="E613" s="7">
        <v>39925</v>
      </c>
      <c r="F613" t="s">
        <v>3999</v>
      </c>
      <c r="G613" t="s">
        <v>4000</v>
      </c>
      <c r="H613" t="s">
        <v>4001</v>
      </c>
      <c r="I613" t="s">
        <v>1634</v>
      </c>
      <c r="J613" t="s">
        <v>397</v>
      </c>
      <c r="K613" s="7">
        <v>23703</v>
      </c>
    </row>
    <row r="614" spans="1:11" x14ac:dyDescent="0.25">
      <c r="A614">
        <v>613</v>
      </c>
      <c r="B614" t="s">
        <v>4002</v>
      </c>
      <c r="C614" t="s">
        <v>75</v>
      </c>
      <c r="D614" t="s">
        <v>1604</v>
      </c>
      <c r="E614" s="7">
        <v>42799</v>
      </c>
      <c r="F614" t="s">
        <v>4003</v>
      </c>
      <c r="G614" t="s">
        <v>4004</v>
      </c>
      <c r="H614" t="s">
        <v>4005</v>
      </c>
      <c r="I614" t="s">
        <v>1634</v>
      </c>
      <c r="J614" t="s">
        <v>467</v>
      </c>
      <c r="K614" s="7">
        <v>35314</v>
      </c>
    </row>
    <row r="615" spans="1:11" x14ac:dyDescent="0.25">
      <c r="A615">
        <v>614</v>
      </c>
      <c r="B615" t="s">
        <v>4006</v>
      </c>
      <c r="C615" t="s">
        <v>75</v>
      </c>
      <c r="D615" t="s">
        <v>1610</v>
      </c>
      <c r="E615" s="7">
        <v>39161</v>
      </c>
      <c r="F615" t="s">
        <v>4007</v>
      </c>
      <c r="G615" t="s">
        <v>4008</v>
      </c>
      <c r="H615" t="s">
        <v>4009</v>
      </c>
      <c r="I615" t="s">
        <v>1639</v>
      </c>
      <c r="J615" t="s">
        <v>1640</v>
      </c>
      <c r="K615" s="7">
        <v>36243</v>
      </c>
    </row>
    <row r="616" spans="1:11" x14ac:dyDescent="0.25">
      <c r="A616">
        <v>615</v>
      </c>
      <c r="B616" t="s">
        <v>4010</v>
      </c>
      <c r="C616" t="s">
        <v>83</v>
      </c>
      <c r="D616" t="s">
        <v>1602</v>
      </c>
      <c r="E616" s="7">
        <v>40024</v>
      </c>
      <c r="F616" t="s">
        <v>4011</v>
      </c>
      <c r="G616" t="s">
        <v>4012</v>
      </c>
      <c r="H616" t="s">
        <v>4013</v>
      </c>
      <c r="I616" t="s">
        <v>1645</v>
      </c>
      <c r="J616" t="s">
        <v>1649</v>
      </c>
      <c r="K616" s="7">
        <v>29827</v>
      </c>
    </row>
    <row r="617" spans="1:11" x14ac:dyDescent="0.25">
      <c r="A617">
        <v>616</v>
      </c>
      <c r="B617" t="s">
        <v>4014</v>
      </c>
      <c r="C617" t="s">
        <v>83</v>
      </c>
      <c r="D617" t="s">
        <v>1600</v>
      </c>
      <c r="E617" s="7">
        <v>41340</v>
      </c>
      <c r="F617" t="s">
        <v>4015</v>
      </c>
      <c r="G617" t="s">
        <v>4016</v>
      </c>
      <c r="H617" t="s">
        <v>4017</v>
      </c>
      <c r="I617" t="s">
        <v>1639</v>
      </c>
      <c r="J617" t="s">
        <v>397</v>
      </c>
      <c r="K617" s="7">
        <v>31804</v>
      </c>
    </row>
    <row r="618" spans="1:11" x14ac:dyDescent="0.25">
      <c r="A618">
        <v>617</v>
      </c>
      <c r="B618" t="s">
        <v>4018</v>
      </c>
      <c r="C618" t="s">
        <v>83</v>
      </c>
      <c r="D618" t="s">
        <v>1602</v>
      </c>
      <c r="E618" s="7">
        <v>40025</v>
      </c>
      <c r="F618" t="s">
        <v>4019</v>
      </c>
      <c r="G618" t="s">
        <v>4020</v>
      </c>
      <c r="H618" t="s">
        <v>4021</v>
      </c>
      <c r="I618" t="s">
        <v>1654</v>
      </c>
      <c r="J618" t="s">
        <v>1640</v>
      </c>
      <c r="K618" s="7">
        <v>23757</v>
      </c>
    </row>
    <row r="619" spans="1:11" x14ac:dyDescent="0.25">
      <c r="A619">
        <v>618</v>
      </c>
      <c r="B619" t="s">
        <v>4022</v>
      </c>
      <c r="C619" t="s">
        <v>83</v>
      </c>
      <c r="D619" t="s">
        <v>1596</v>
      </c>
      <c r="E619" s="7">
        <v>40710</v>
      </c>
      <c r="F619" t="s">
        <v>4023</v>
      </c>
      <c r="G619" t="s">
        <v>4024</v>
      </c>
      <c r="H619" t="s">
        <v>4025</v>
      </c>
      <c r="I619" t="s">
        <v>1645</v>
      </c>
      <c r="J619" t="s">
        <v>467</v>
      </c>
      <c r="K619" s="7">
        <v>31328</v>
      </c>
    </row>
    <row r="620" spans="1:11" x14ac:dyDescent="0.25">
      <c r="A620">
        <v>619</v>
      </c>
      <c r="B620" t="s">
        <v>4026</v>
      </c>
      <c r="C620" t="s">
        <v>83</v>
      </c>
      <c r="D620" t="s">
        <v>1602</v>
      </c>
      <c r="E620" s="7">
        <v>45224</v>
      </c>
      <c r="F620" t="s">
        <v>4027</v>
      </c>
      <c r="G620">
        <v>9770782778</v>
      </c>
      <c r="H620" t="s">
        <v>4028</v>
      </c>
      <c r="I620" t="s">
        <v>1634</v>
      </c>
      <c r="J620" t="s">
        <v>1663</v>
      </c>
      <c r="K620" s="7">
        <v>36756</v>
      </c>
    </row>
    <row r="621" spans="1:11" x14ac:dyDescent="0.25">
      <c r="A621">
        <v>620</v>
      </c>
      <c r="B621" t="s">
        <v>4029</v>
      </c>
      <c r="C621" t="s">
        <v>75</v>
      </c>
      <c r="D621" t="s">
        <v>1612</v>
      </c>
      <c r="E621" s="7">
        <v>38978</v>
      </c>
      <c r="F621" t="s">
        <v>4030</v>
      </c>
      <c r="G621">
        <v>4117403925</v>
      </c>
      <c r="H621" t="s">
        <v>4031</v>
      </c>
      <c r="I621" t="s">
        <v>1645</v>
      </c>
      <c r="J621" t="s">
        <v>1663</v>
      </c>
      <c r="K621" s="7">
        <v>31542</v>
      </c>
    </row>
    <row r="622" spans="1:11" x14ac:dyDescent="0.25">
      <c r="A622">
        <v>621</v>
      </c>
      <c r="B622" t="s">
        <v>4032</v>
      </c>
      <c r="C622" t="s">
        <v>75</v>
      </c>
      <c r="D622" t="s">
        <v>1596</v>
      </c>
      <c r="E622" s="7">
        <v>40171</v>
      </c>
      <c r="F622" t="s">
        <v>4033</v>
      </c>
      <c r="G622" t="s">
        <v>4034</v>
      </c>
      <c r="H622" t="s">
        <v>4035</v>
      </c>
      <c r="I622" t="s">
        <v>1634</v>
      </c>
      <c r="J622" t="s">
        <v>397</v>
      </c>
      <c r="K622" s="7">
        <v>36298</v>
      </c>
    </row>
    <row r="623" spans="1:11" x14ac:dyDescent="0.25">
      <c r="A623">
        <v>622</v>
      </c>
      <c r="B623" t="s">
        <v>4036</v>
      </c>
      <c r="C623" t="s">
        <v>83</v>
      </c>
      <c r="D623" t="s">
        <v>1604</v>
      </c>
      <c r="E623" s="7">
        <v>42573</v>
      </c>
      <c r="F623" t="s">
        <v>4037</v>
      </c>
      <c r="G623" t="s">
        <v>4038</v>
      </c>
      <c r="H623" t="s">
        <v>4039</v>
      </c>
      <c r="I623" t="s">
        <v>1634</v>
      </c>
      <c r="J623" t="s">
        <v>397</v>
      </c>
      <c r="K623" s="7">
        <v>31405</v>
      </c>
    </row>
    <row r="624" spans="1:11" x14ac:dyDescent="0.25">
      <c r="A624">
        <v>623</v>
      </c>
      <c r="B624" t="s">
        <v>4040</v>
      </c>
      <c r="C624" t="s">
        <v>75</v>
      </c>
      <c r="D624" t="s">
        <v>1604</v>
      </c>
      <c r="E624" s="7">
        <v>41148</v>
      </c>
      <c r="F624" t="s">
        <v>4041</v>
      </c>
      <c r="G624" t="s">
        <v>4042</v>
      </c>
      <c r="H624" t="s">
        <v>4043</v>
      </c>
      <c r="I624" t="s">
        <v>1639</v>
      </c>
      <c r="J624" t="s">
        <v>467</v>
      </c>
      <c r="K624" s="7">
        <v>24056</v>
      </c>
    </row>
    <row r="625" spans="1:11" x14ac:dyDescent="0.25">
      <c r="A625">
        <v>624</v>
      </c>
      <c r="B625" t="s">
        <v>4044</v>
      </c>
      <c r="C625" t="s">
        <v>83</v>
      </c>
      <c r="D625" t="s">
        <v>1614</v>
      </c>
      <c r="E625" s="7">
        <v>40401</v>
      </c>
      <c r="F625" t="s">
        <v>4045</v>
      </c>
      <c r="G625">
        <v>6485916006</v>
      </c>
      <c r="H625" t="s">
        <v>4046</v>
      </c>
      <c r="I625" t="s">
        <v>1654</v>
      </c>
      <c r="J625" t="s">
        <v>467</v>
      </c>
      <c r="K625" s="7">
        <v>23665</v>
      </c>
    </row>
    <row r="626" spans="1:11" x14ac:dyDescent="0.25">
      <c r="A626">
        <v>625</v>
      </c>
      <c r="B626" t="s">
        <v>4047</v>
      </c>
      <c r="C626" t="s">
        <v>75</v>
      </c>
      <c r="D626" t="s">
        <v>1612</v>
      </c>
      <c r="E626" s="7">
        <v>42366</v>
      </c>
      <c r="F626" t="s">
        <v>4048</v>
      </c>
      <c r="G626" t="s">
        <v>4049</v>
      </c>
      <c r="H626" t="s">
        <v>4050</v>
      </c>
      <c r="I626" t="s">
        <v>1634</v>
      </c>
      <c r="J626" t="s">
        <v>1663</v>
      </c>
      <c r="K626" s="7">
        <v>33662</v>
      </c>
    </row>
    <row r="627" spans="1:11" x14ac:dyDescent="0.25">
      <c r="A627">
        <v>626</v>
      </c>
      <c r="B627" t="s">
        <v>4051</v>
      </c>
      <c r="C627" t="s">
        <v>75</v>
      </c>
      <c r="D627" t="s">
        <v>1600</v>
      </c>
      <c r="E627" s="7">
        <v>44419</v>
      </c>
      <c r="F627" t="s">
        <v>4052</v>
      </c>
      <c r="G627" t="s">
        <v>4053</v>
      </c>
      <c r="H627" t="s">
        <v>4054</v>
      </c>
      <c r="I627" t="s">
        <v>1738</v>
      </c>
      <c r="J627" t="s">
        <v>397</v>
      </c>
      <c r="K627" s="7">
        <v>32951</v>
      </c>
    </row>
    <row r="628" spans="1:11" x14ac:dyDescent="0.25">
      <c r="A628">
        <v>627</v>
      </c>
      <c r="B628" t="s">
        <v>4055</v>
      </c>
      <c r="C628" t="s">
        <v>83</v>
      </c>
      <c r="D628" t="s">
        <v>1614</v>
      </c>
      <c r="E628" s="7">
        <v>45023</v>
      </c>
      <c r="F628" t="s">
        <v>4056</v>
      </c>
      <c r="G628" t="s">
        <v>4057</v>
      </c>
      <c r="H628" t="s">
        <v>4058</v>
      </c>
      <c r="I628" t="s">
        <v>1654</v>
      </c>
      <c r="J628" t="s">
        <v>397</v>
      </c>
      <c r="K628" s="7">
        <v>25472</v>
      </c>
    </row>
    <row r="629" spans="1:11" x14ac:dyDescent="0.25">
      <c r="A629">
        <v>628</v>
      </c>
      <c r="B629" t="s">
        <v>4059</v>
      </c>
      <c r="C629" t="s">
        <v>83</v>
      </c>
      <c r="D629" t="s">
        <v>1602</v>
      </c>
      <c r="E629" s="7">
        <v>45529</v>
      </c>
      <c r="F629" t="s">
        <v>4060</v>
      </c>
      <c r="G629" t="s">
        <v>4061</v>
      </c>
      <c r="H629" t="s">
        <v>4062</v>
      </c>
      <c r="I629" t="s">
        <v>1634</v>
      </c>
      <c r="J629" t="s">
        <v>1663</v>
      </c>
      <c r="K629" s="7">
        <v>26824</v>
      </c>
    </row>
    <row r="630" spans="1:11" x14ac:dyDescent="0.25">
      <c r="A630">
        <v>629</v>
      </c>
      <c r="B630" t="s">
        <v>4063</v>
      </c>
      <c r="C630" t="s">
        <v>83</v>
      </c>
      <c r="D630" t="s">
        <v>1604</v>
      </c>
      <c r="E630" s="7">
        <v>41247</v>
      </c>
      <c r="F630" t="s">
        <v>4064</v>
      </c>
      <c r="G630">
        <v>5903476840</v>
      </c>
      <c r="H630" t="s">
        <v>4065</v>
      </c>
      <c r="I630" t="s">
        <v>1634</v>
      </c>
      <c r="J630" t="s">
        <v>397</v>
      </c>
      <c r="K630" s="7">
        <v>32432</v>
      </c>
    </row>
    <row r="631" spans="1:11" x14ac:dyDescent="0.25">
      <c r="A631">
        <v>630</v>
      </c>
      <c r="B631" t="s">
        <v>4066</v>
      </c>
      <c r="C631" t="s">
        <v>75</v>
      </c>
      <c r="D631" t="s">
        <v>1598</v>
      </c>
      <c r="E631" s="7">
        <v>43334</v>
      </c>
      <c r="F631" t="s">
        <v>4067</v>
      </c>
      <c r="G631" t="s">
        <v>4068</v>
      </c>
      <c r="H631" t="s">
        <v>4069</v>
      </c>
      <c r="I631" t="s">
        <v>1645</v>
      </c>
      <c r="J631" t="s">
        <v>1649</v>
      </c>
      <c r="K631" s="7">
        <v>32532</v>
      </c>
    </row>
    <row r="632" spans="1:11" x14ac:dyDescent="0.25">
      <c r="A632">
        <v>631</v>
      </c>
      <c r="B632" t="s">
        <v>4070</v>
      </c>
      <c r="C632" t="s">
        <v>75</v>
      </c>
      <c r="D632" t="s">
        <v>1608</v>
      </c>
      <c r="E632" s="7">
        <v>43541</v>
      </c>
      <c r="F632" t="s">
        <v>4071</v>
      </c>
      <c r="G632" t="s">
        <v>4072</v>
      </c>
      <c r="H632" t="s">
        <v>4073</v>
      </c>
      <c r="I632" t="s">
        <v>1639</v>
      </c>
      <c r="J632" t="s">
        <v>1663</v>
      </c>
      <c r="K632" s="7">
        <v>30002</v>
      </c>
    </row>
    <row r="633" spans="1:11" x14ac:dyDescent="0.25">
      <c r="A633">
        <v>632</v>
      </c>
      <c r="B633" t="s">
        <v>4074</v>
      </c>
      <c r="C633" t="s">
        <v>83</v>
      </c>
      <c r="D633" t="s">
        <v>1600</v>
      </c>
      <c r="E633" s="7">
        <v>40631</v>
      </c>
      <c r="F633" t="s">
        <v>4075</v>
      </c>
      <c r="G633">
        <v>9106713439</v>
      </c>
      <c r="H633" t="s">
        <v>4076</v>
      </c>
      <c r="I633" t="s">
        <v>1645</v>
      </c>
      <c r="J633" t="s">
        <v>1649</v>
      </c>
      <c r="K633" s="7">
        <v>36293</v>
      </c>
    </row>
    <row r="634" spans="1:11" x14ac:dyDescent="0.25">
      <c r="A634">
        <v>633</v>
      </c>
      <c r="B634" t="s">
        <v>4077</v>
      </c>
      <c r="C634" t="s">
        <v>75</v>
      </c>
      <c r="D634" t="s">
        <v>1602</v>
      </c>
      <c r="E634" s="7">
        <v>40140</v>
      </c>
      <c r="F634" t="s">
        <v>4078</v>
      </c>
      <c r="G634" t="s">
        <v>4079</v>
      </c>
      <c r="H634" t="s">
        <v>4080</v>
      </c>
      <c r="I634" t="s">
        <v>1634</v>
      </c>
      <c r="J634" t="s">
        <v>1649</v>
      </c>
      <c r="K634" s="7">
        <v>27975</v>
      </c>
    </row>
    <row r="635" spans="1:11" x14ac:dyDescent="0.25">
      <c r="A635">
        <v>634</v>
      </c>
      <c r="B635" t="s">
        <v>4081</v>
      </c>
      <c r="C635" t="s">
        <v>83</v>
      </c>
      <c r="D635" t="s">
        <v>1610</v>
      </c>
      <c r="E635" s="7">
        <v>43568</v>
      </c>
      <c r="F635" t="s">
        <v>4082</v>
      </c>
      <c r="G635" t="s">
        <v>4083</v>
      </c>
      <c r="H635" t="s">
        <v>4084</v>
      </c>
      <c r="I635" t="s">
        <v>1654</v>
      </c>
      <c r="J635" t="s">
        <v>467</v>
      </c>
      <c r="K635" s="7">
        <v>32110</v>
      </c>
    </row>
    <row r="636" spans="1:11" x14ac:dyDescent="0.25">
      <c r="A636">
        <v>635</v>
      </c>
      <c r="B636" t="s">
        <v>4085</v>
      </c>
      <c r="C636" t="s">
        <v>75</v>
      </c>
      <c r="D636" t="s">
        <v>1614</v>
      </c>
      <c r="E636" s="7">
        <v>40841</v>
      </c>
      <c r="F636" t="s">
        <v>4086</v>
      </c>
      <c r="G636" t="s">
        <v>4087</v>
      </c>
      <c r="H636" t="s">
        <v>4088</v>
      </c>
      <c r="I636" t="s">
        <v>1634</v>
      </c>
      <c r="J636" t="s">
        <v>397</v>
      </c>
      <c r="K636" s="7">
        <v>29305</v>
      </c>
    </row>
    <row r="637" spans="1:11" x14ac:dyDescent="0.25">
      <c r="A637">
        <v>636</v>
      </c>
      <c r="B637" t="s">
        <v>4089</v>
      </c>
      <c r="C637" t="s">
        <v>75</v>
      </c>
      <c r="D637" t="s">
        <v>1604</v>
      </c>
      <c r="E637" s="7">
        <v>40616</v>
      </c>
      <c r="F637" t="s">
        <v>4090</v>
      </c>
      <c r="G637">
        <f>1-882-240-6658</f>
        <v>-7779</v>
      </c>
      <c r="H637" t="s">
        <v>4091</v>
      </c>
      <c r="I637" t="s">
        <v>1639</v>
      </c>
      <c r="J637" t="s">
        <v>1663</v>
      </c>
      <c r="K637" s="7">
        <v>24642</v>
      </c>
    </row>
    <row r="638" spans="1:11" x14ac:dyDescent="0.25">
      <c r="A638">
        <v>637</v>
      </c>
      <c r="B638" t="s">
        <v>4092</v>
      </c>
      <c r="C638" t="s">
        <v>75</v>
      </c>
      <c r="D638" t="s">
        <v>1610</v>
      </c>
      <c r="E638" s="7">
        <v>40435</v>
      </c>
      <c r="F638" t="s">
        <v>4093</v>
      </c>
      <c r="G638" t="s">
        <v>4094</v>
      </c>
      <c r="H638" t="s">
        <v>4095</v>
      </c>
      <c r="I638" t="s">
        <v>1639</v>
      </c>
      <c r="J638" t="s">
        <v>1649</v>
      </c>
      <c r="K638" s="7">
        <v>30569</v>
      </c>
    </row>
    <row r="639" spans="1:11" x14ac:dyDescent="0.25">
      <c r="A639">
        <v>638</v>
      </c>
      <c r="B639" t="s">
        <v>4096</v>
      </c>
      <c r="C639" t="s">
        <v>83</v>
      </c>
      <c r="D639" t="s">
        <v>1612</v>
      </c>
      <c r="E639" s="7">
        <v>42301</v>
      </c>
      <c r="F639" t="s">
        <v>4097</v>
      </c>
      <c r="G639" t="s">
        <v>4098</v>
      </c>
      <c r="H639" t="s">
        <v>4099</v>
      </c>
      <c r="I639" t="s">
        <v>1645</v>
      </c>
      <c r="J639" t="s">
        <v>1663</v>
      </c>
      <c r="K639" s="7">
        <v>30052</v>
      </c>
    </row>
    <row r="640" spans="1:11" x14ac:dyDescent="0.25">
      <c r="A640">
        <v>639</v>
      </c>
      <c r="B640" t="s">
        <v>4100</v>
      </c>
      <c r="C640" t="s">
        <v>75</v>
      </c>
      <c r="D640" t="s">
        <v>1604</v>
      </c>
      <c r="E640" s="7">
        <v>42346</v>
      </c>
      <c r="F640" t="s">
        <v>4101</v>
      </c>
      <c r="G640" t="s">
        <v>4102</v>
      </c>
      <c r="H640" t="s">
        <v>4103</v>
      </c>
      <c r="I640" t="s">
        <v>1634</v>
      </c>
      <c r="J640" t="s">
        <v>1649</v>
      </c>
      <c r="K640" s="7">
        <v>34433</v>
      </c>
    </row>
    <row r="641" spans="1:11" x14ac:dyDescent="0.25">
      <c r="A641">
        <v>640</v>
      </c>
      <c r="B641" t="s">
        <v>4104</v>
      </c>
      <c r="C641" t="s">
        <v>75</v>
      </c>
      <c r="D641" t="s">
        <v>1612</v>
      </c>
      <c r="E641" s="7">
        <v>38830</v>
      </c>
      <c r="F641" t="s">
        <v>4105</v>
      </c>
      <c r="G641" t="s">
        <v>4106</v>
      </c>
      <c r="H641" t="s">
        <v>4107</v>
      </c>
      <c r="I641" t="s">
        <v>1654</v>
      </c>
      <c r="J641" t="s">
        <v>397</v>
      </c>
      <c r="K641" s="7">
        <v>31733</v>
      </c>
    </row>
    <row r="642" spans="1:11" x14ac:dyDescent="0.25">
      <c r="A642">
        <v>641</v>
      </c>
      <c r="B642" t="s">
        <v>4108</v>
      </c>
      <c r="C642" t="s">
        <v>75</v>
      </c>
      <c r="D642" t="s">
        <v>1598</v>
      </c>
      <c r="E642" s="7">
        <v>45090</v>
      </c>
      <c r="F642" t="s">
        <v>4109</v>
      </c>
      <c r="G642" t="s">
        <v>4110</v>
      </c>
      <c r="H642" t="s">
        <v>4111</v>
      </c>
      <c r="I642" t="s">
        <v>1654</v>
      </c>
      <c r="J642" t="s">
        <v>467</v>
      </c>
      <c r="K642" s="7">
        <v>37649</v>
      </c>
    </row>
    <row r="643" spans="1:11" x14ac:dyDescent="0.25">
      <c r="A643">
        <v>642</v>
      </c>
      <c r="B643" t="s">
        <v>4112</v>
      </c>
      <c r="C643" t="s">
        <v>75</v>
      </c>
      <c r="D643" t="s">
        <v>1610</v>
      </c>
      <c r="E643" s="7">
        <v>45329</v>
      </c>
      <c r="F643" t="s">
        <v>4113</v>
      </c>
      <c r="G643" t="s">
        <v>4114</v>
      </c>
      <c r="H643" t="s">
        <v>4115</v>
      </c>
      <c r="I643" t="s">
        <v>1634</v>
      </c>
      <c r="J643" t="s">
        <v>1640</v>
      </c>
      <c r="K643" s="7">
        <v>37390</v>
      </c>
    </row>
    <row r="644" spans="1:11" x14ac:dyDescent="0.25">
      <c r="A644">
        <v>643</v>
      </c>
      <c r="B644" t="s">
        <v>4116</v>
      </c>
      <c r="C644" t="s">
        <v>83</v>
      </c>
      <c r="D644" t="s">
        <v>1602</v>
      </c>
      <c r="E644" s="7">
        <v>42346</v>
      </c>
      <c r="F644" t="s">
        <v>4117</v>
      </c>
      <c r="G644" t="s">
        <v>4118</v>
      </c>
      <c r="H644" t="s">
        <v>4119</v>
      </c>
      <c r="I644" t="s">
        <v>1645</v>
      </c>
      <c r="J644" t="s">
        <v>1663</v>
      </c>
      <c r="K644" s="7">
        <v>36184</v>
      </c>
    </row>
    <row r="645" spans="1:11" x14ac:dyDescent="0.25">
      <c r="A645">
        <v>644</v>
      </c>
      <c r="B645" t="s">
        <v>4120</v>
      </c>
      <c r="C645" t="s">
        <v>83</v>
      </c>
      <c r="D645" t="s">
        <v>1606</v>
      </c>
      <c r="E645" s="7">
        <v>45058</v>
      </c>
      <c r="F645" t="s">
        <v>4121</v>
      </c>
      <c r="G645">
        <v>9253494143</v>
      </c>
      <c r="H645" t="s">
        <v>4122</v>
      </c>
      <c r="I645" t="s">
        <v>1738</v>
      </c>
      <c r="J645" t="s">
        <v>397</v>
      </c>
      <c r="K645" s="7">
        <v>26909</v>
      </c>
    </row>
    <row r="646" spans="1:11" x14ac:dyDescent="0.25">
      <c r="A646">
        <v>645</v>
      </c>
      <c r="B646" t="s">
        <v>4123</v>
      </c>
      <c r="C646" t="s">
        <v>83</v>
      </c>
      <c r="D646" t="s">
        <v>1608</v>
      </c>
      <c r="E646" s="7">
        <v>42405</v>
      </c>
      <c r="F646" t="s">
        <v>4124</v>
      </c>
      <c r="G646" t="s">
        <v>4125</v>
      </c>
      <c r="H646" t="s">
        <v>4126</v>
      </c>
      <c r="I646" t="s">
        <v>1738</v>
      </c>
      <c r="J646" t="s">
        <v>1649</v>
      </c>
      <c r="K646" s="7">
        <v>36796</v>
      </c>
    </row>
    <row r="647" spans="1:11" x14ac:dyDescent="0.25">
      <c r="A647">
        <v>646</v>
      </c>
      <c r="B647" t="s">
        <v>4127</v>
      </c>
      <c r="C647" t="s">
        <v>83</v>
      </c>
      <c r="D647" t="s">
        <v>1604</v>
      </c>
      <c r="E647" s="7">
        <v>38544</v>
      </c>
      <c r="F647" t="s">
        <v>4128</v>
      </c>
      <c r="G647">
        <v>1378134099</v>
      </c>
      <c r="H647" t="s">
        <v>4129</v>
      </c>
      <c r="I647" t="s">
        <v>1738</v>
      </c>
      <c r="J647" t="s">
        <v>397</v>
      </c>
      <c r="K647" s="7">
        <v>30826</v>
      </c>
    </row>
    <row r="648" spans="1:11" x14ac:dyDescent="0.25">
      <c r="A648">
        <v>647</v>
      </c>
      <c r="B648" t="s">
        <v>4130</v>
      </c>
      <c r="C648" t="s">
        <v>75</v>
      </c>
      <c r="D648" t="s">
        <v>1614</v>
      </c>
      <c r="E648" s="7">
        <v>39645</v>
      </c>
      <c r="F648" t="s">
        <v>4131</v>
      </c>
      <c r="G648" t="s">
        <v>4132</v>
      </c>
      <c r="H648" t="s">
        <v>4133</v>
      </c>
      <c r="I648" t="s">
        <v>1639</v>
      </c>
      <c r="J648" t="s">
        <v>467</v>
      </c>
      <c r="K648" s="7">
        <v>33808</v>
      </c>
    </row>
    <row r="649" spans="1:11" x14ac:dyDescent="0.25">
      <c r="A649">
        <v>648</v>
      </c>
      <c r="B649" t="s">
        <v>4134</v>
      </c>
      <c r="C649" t="s">
        <v>83</v>
      </c>
      <c r="D649" t="s">
        <v>1606</v>
      </c>
      <c r="E649" s="7">
        <v>42127</v>
      </c>
      <c r="F649" t="s">
        <v>4135</v>
      </c>
      <c r="G649" t="s">
        <v>4136</v>
      </c>
      <c r="H649" t="s">
        <v>4137</v>
      </c>
      <c r="I649" t="s">
        <v>1738</v>
      </c>
      <c r="J649" t="s">
        <v>397</v>
      </c>
      <c r="K649" s="7">
        <v>28690</v>
      </c>
    </row>
    <row r="650" spans="1:11" x14ac:dyDescent="0.25">
      <c r="A650">
        <v>649</v>
      </c>
      <c r="B650" t="s">
        <v>4138</v>
      </c>
      <c r="C650" t="s">
        <v>83</v>
      </c>
      <c r="D650" t="s">
        <v>1614</v>
      </c>
      <c r="E650" s="7">
        <v>39745</v>
      </c>
      <c r="F650" t="s">
        <v>4139</v>
      </c>
      <c r="G650" t="s">
        <v>4140</v>
      </c>
      <c r="H650" t="s">
        <v>4141</v>
      </c>
      <c r="I650" t="s">
        <v>1645</v>
      </c>
      <c r="J650" t="s">
        <v>1640</v>
      </c>
      <c r="K650" s="7">
        <v>27633</v>
      </c>
    </row>
    <row r="651" spans="1:11" x14ac:dyDescent="0.25">
      <c r="A651">
        <v>650</v>
      </c>
      <c r="B651" t="s">
        <v>4142</v>
      </c>
      <c r="C651" t="s">
        <v>83</v>
      </c>
      <c r="D651" t="s">
        <v>1600</v>
      </c>
      <c r="E651" s="7">
        <v>43313</v>
      </c>
      <c r="F651" t="s">
        <v>4143</v>
      </c>
      <c r="G651" t="s">
        <v>4144</v>
      </c>
      <c r="H651" t="s">
        <v>4145</v>
      </c>
      <c r="I651" t="s">
        <v>1639</v>
      </c>
      <c r="J651" t="s">
        <v>397</v>
      </c>
      <c r="K651" s="7">
        <v>26080</v>
      </c>
    </row>
    <row r="652" spans="1:11" x14ac:dyDescent="0.25">
      <c r="A652">
        <v>651</v>
      </c>
      <c r="B652" t="s">
        <v>4146</v>
      </c>
      <c r="C652" t="s">
        <v>75</v>
      </c>
      <c r="D652" t="s">
        <v>1614</v>
      </c>
      <c r="E652" s="7">
        <v>43546</v>
      </c>
      <c r="F652" t="s">
        <v>4147</v>
      </c>
      <c r="G652" t="s">
        <v>4148</v>
      </c>
      <c r="H652" t="s">
        <v>4149</v>
      </c>
      <c r="I652" t="s">
        <v>1645</v>
      </c>
      <c r="J652" t="s">
        <v>1649</v>
      </c>
      <c r="K652" s="7">
        <v>28724</v>
      </c>
    </row>
    <row r="653" spans="1:11" x14ac:dyDescent="0.25">
      <c r="A653">
        <v>652</v>
      </c>
      <c r="B653" t="s">
        <v>4150</v>
      </c>
      <c r="C653" t="s">
        <v>83</v>
      </c>
      <c r="D653" t="s">
        <v>1612</v>
      </c>
      <c r="E653" s="7">
        <v>42176</v>
      </c>
      <c r="F653" t="s">
        <v>4151</v>
      </c>
      <c r="G653" t="s">
        <v>4152</v>
      </c>
      <c r="H653" t="s">
        <v>4153</v>
      </c>
      <c r="I653" t="s">
        <v>1645</v>
      </c>
      <c r="J653" t="s">
        <v>1649</v>
      </c>
      <c r="K653" s="7">
        <v>36674</v>
      </c>
    </row>
    <row r="654" spans="1:11" x14ac:dyDescent="0.25">
      <c r="A654">
        <v>653</v>
      </c>
      <c r="B654" t="s">
        <v>4154</v>
      </c>
      <c r="C654" t="s">
        <v>75</v>
      </c>
      <c r="D654" t="s">
        <v>1610</v>
      </c>
      <c r="E654" s="7">
        <v>42259</v>
      </c>
      <c r="F654" t="s">
        <v>4155</v>
      </c>
      <c r="G654">
        <v>5613066492</v>
      </c>
      <c r="H654" t="s">
        <v>4156</v>
      </c>
      <c r="I654" t="s">
        <v>1639</v>
      </c>
      <c r="J654" t="s">
        <v>1663</v>
      </c>
      <c r="K654" s="7">
        <v>25471</v>
      </c>
    </row>
    <row r="655" spans="1:11" x14ac:dyDescent="0.25">
      <c r="A655">
        <v>654</v>
      </c>
      <c r="B655" t="s">
        <v>4157</v>
      </c>
      <c r="C655" t="s">
        <v>83</v>
      </c>
      <c r="D655" t="s">
        <v>1596</v>
      </c>
      <c r="E655" s="7">
        <v>40041</v>
      </c>
      <c r="F655" t="s">
        <v>4158</v>
      </c>
      <c r="G655" t="s">
        <v>4159</v>
      </c>
      <c r="H655" t="s">
        <v>4160</v>
      </c>
      <c r="I655" t="s">
        <v>1738</v>
      </c>
      <c r="J655" t="s">
        <v>1640</v>
      </c>
      <c r="K655" s="7">
        <v>23649</v>
      </c>
    </row>
    <row r="656" spans="1:11" x14ac:dyDescent="0.25">
      <c r="A656">
        <v>655</v>
      </c>
      <c r="B656" t="s">
        <v>4161</v>
      </c>
      <c r="C656" t="s">
        <v>75</v>
      </c>
      <c r="D656" t="s">
        <v>1596</v>
      </c>
      <c r="E656" s="7">
        <v>43083</v>
      </c>
      <c r="F656" t="s">
        <v>4162</v>
      </c>
      <c r="G656" t="s">
        <v>4163</v>
      </c>
      <c r="H656" t="s">
        <v>4164</v>
      </c>
      <c r="I656" t="s">
        <v>1639</v>
      </c>
      <c r="J656" t="s">
        <v>1663</v>
      </c>
      <c r="K656" s="7">
        <v>27870</v>
      </c>
    </row>
    <row r="657" spans="1:11" x14ac:dyDescent="0.25">
      <c r="A657">
        <v>656</v>
      </c>
      <c r="B657" t="s">
        <v>4165</v>
      </c>
      <c r="C657" t="s">
        <v>75</v>
      </c>
      <c r="D657" t="s">
        <v>1612</v>
      </c>
      <c r="E657" s="7">
        <v>43482</v>
      </c>
      <c r="F657" t="s">
        <v>4166</v>
      </c>
      <c r="G657" t="s">
        <v>4167</v>
      </c>
      <c r="H657" t="s">
        <v>4168</v>
      </c>
      <c r="I657" t="s">
        <v>1645</v>
      </c>
      <c r="J657" t="s">
        <v>397</v>
      </c>
      <c r="K657" s="7">
        <v>23542</v>
      </c>
    </row>
    <row r="658" spans="1:11" x14ac:dyDescent="0.25">
      <c r="A658">
        <v>657</v>
      </c>
      <c r="B658" t="s">
        <v>4169</v>
      </c>
      <c r="C658" t="s">
        <v>83</v>
      </c>
      <c r="D658" t="s">
        <v>1596</v>
      </c>
      <c r="E658" s="7">
        <v>40103</v>
      </c>
      <c r="F658" t="s">
        <v>4170</v>
      </c>
      <c r="G658" t="s">
        <v>4171</v>
      </c>
      <c r="H658" t="s">
        <v>4172</v>
      </c>
      <c r="I658" t="s">
        <v>1634</v>
      </c>
      <c r="J658" t="s">
        <v>1663</v>
      </c>
      <c r="K658" s="7">
        <v>32249</v>
      </c>
    </row>
    <row r="659" spans="1:11" x14ac:dyDescent="0.25">
      <c r="A659">
        <v>658</v>
      </c>
      <c r="B659" t="s">
        <v>4173</v>
      </c>
      <c r="C659" t="s">
        <v>75</v>
      </c>
      <c r="D659" t="s">
        <v>1608</v>
      </c>
      <c r="E659" s="7">
        <v>40773</v>
      </c>
      <c r="F659" t="s">
        <v>4174</v>
      </c>
      <c r="G659" t="s">
        <v>4175</v>
      </c>
      <c r="H659" t="s">
        <v>4176</v>
      </c>
      <c r="I659" t="s">
        <v>1738</v>
      </c>
      <c r="J659" t="s">
        <v>1649</v>
      </c>
      <c r="K659" s="7">
        <v>34844</v>
      </c>
    </row>
    <row r="660" spans="1:11" x14ac:dyDescent="0.25">
      <c r="A660">
        <v>659</v>
      </c>
      <c r="B660" t="s">
        <v>4177</v>
      </c>
      <c r="C660" t="s">
        <v>75</v>
      </c>
      <c r="D660" t="s">
        <v>1604</v>
      </c>
      <c r="E660" s="7">
        <v>44711</v>
      </c>
      <c r="F660" t="s">
        <v>4178</v>
      </c>
      <c r="G660" t="s">
        <v>4179</v>
      </c>
      <c r="H660" t="s">
        <v>4180</v>
      </c>
      <c r="I660" t="s">
        <v>1634</v>
      </c>
      <c r="J660" t="s">
        <v>1649</v>
      </c>
      <c r="K660" s="7">
        <v>30524</v>
      </c>
    </row>
    <row r="661" spans="1:11" x14ac:dyDescent="0.25">
      <c r="A661">
        <v>660</v>
      </c>
      <c r="B661" t="s">
        <v>4181</v>
      </c>
      <c r="C661" t="s">
        <v>83</v>
      </c>
      <c r="D661" t="s">
        <v>1614</v>
      </c>
      <c r="E661" s="7">
        <v>41915</v>
      </c>
      <c r="F661" t="s">
        <v>4182</v>
      </c>
      <c r="G661" t="s">
        <v>4183</v>
      </c>
      <c r="H661" t="s">
        <v>4184</v>
      </c>
      <c r="I661" t="s">
        <v>1738</v>
      </c>
      <c r="J661" t="s">
        <v>467</v>
      </c>
      <c r="K661" s="7">
        <v>24814</v>
      </c>
    </row>
    <row r="662" spans="1:11" x14ac:dyDescent="0.25">
      <c r="A662">
        <v>661</v>
      </c>
      <c r="B662" t="s">
        <v>4185</v>
      </c>
      <c r="C662" t="s">
        <v>75</v>
      </c>
      <c r="D662" t="s">
        <v>1610</v>
      </c>
      <c r="E662" s="7">
        <v>43388</v>
      </c>
      <c r="F662" t="s">
        <v>4186</v>
      </c>
      <c r="G662" t="s">
        <v>4187</v>
      </c>
      <c r="H662" t="s">
        <v>4188</v>
      </c>
      <c r="I662" t="s">
        <v>1639</v>
      </c>
      <c r="J662" t="s">
        <v>467</v>
      </c>
      <c r="K662" s="7">
        <v>25357</v>
      </c>
    </row>
    <row r="663" spans="1:11" x14ac:dyDescent="0.25">
      <c r="A663">
        <v>662</v>
      </c>
      <c r="B663" t="s">
        <v>4189</v>
      </c>
      <c r="C663" t="s">
        <v>75</v>
      </c>
      <c r="D663" t="s">
        <v>1602</v>
      </c>
      <c r="E663" s="7">
        <v>40107</v>
      </c>
      <c r="F663" t="s">
        <v>4190</v>
      </c>
      <c r="G663" t="s">
        <v>4191</v>
      </c>
      <c r="H663" t="s">
        <v>4192</v>
      </c>
      <c r="I663" t="s">
        <v>1639</v>
      </c>
      <c r="J663" t="s">
        <v>1663</v>
      </c>
      <c r="K663" s="7">
        <v>32483</v>
      </c>
    </row>
    <row r="664" spans="1:11" x14ac:dyDescent="0.25">
      <c r="A664">
        <v>663</v>
      </c>
      <c r="B664" t="s">
        <v>4193</v>
      </c>
      <c r="C664" t="s">
        <v>75</v>
      </c>
      <c r="D664" t="s">
        <v>1614</v>
      </c>
      <c r="E664" s="7">
        <v>40737</v>
      </c>
      <c r="F664" t="s">
        <v>4194</v>
      </c>
      <c r="G664" t="s">
        <v>4195</v>
      </c>
      <c r="H664" t="s">
        <v>4196</v>
      </c>
      <c r="I664" t="s">
        <v>1639</v>
      </c>
      <c r="J664" t="s">
        <v>467</v>
      </c>
      <c r="K664" s="7">
        <v>34492</v>
      </c>
    </row>
    <row r="665" spans="1:11" x14ac:dyDescent="0.25">
      <c r="A665">
        <v>664</v>
      </c>
      <c r="B665" t="s">
        <v>4197</v>
      </c>
      <c r="C665" t="s">
        <v>83</v>
      </c>
      <c r="D665" t="s">
        <v>1598</v>
      </c>
      <c r="E665" s="7">
        <v>43535</v>
      </c>
      <c r="F665" t="s">
        <v>4198</v>
      </c>
      <c r="G665" t="s">
        <v>4199</v>
      </c>
      <c r="H665" t="s">
        <v>4200</v>
      </c>
      <c r="I665" t="s">
        <v>1639</v>
      </c>
      <c r="J665" t="s">
        <v>1649</v>
      </c>
      <c r="K665" s="7">
        <v>25405</v>
      </c>
    </row>
    <row r="666" spans="1:11" x14ac:dyDescent="0.25">
      <c r="A666">
        <v>665</v>
      </c>
      <c r="B666" t="s">
        <v>4201</v>
      </c>
      <c r="C666" t="s">
        <v>83</v>
      </c>
      <c r="D666" t="s">
        <v>1608</v>
      </c>
      <c r="E666" s="7">
        <v>41821</v>
      </c>
      <c r="F666" t="s">
        <v>4202</v>
      </c>
      <c r="G666" t="s">
        <v>4203</v>
      </c>
      <c r="H666" t="s">
        <v>4204</v>
      </c>
      <c r="I666" t="s">
        <v>1634</v>
      </c>
      <c r="J666" t="s">
        <v>1649</v>
      </c>
      <c r="K666" s="7">
        <v>32942</v>
      </c>
    </row>
    <row r="667" spans="1:11" x14ac:dyDescent="0.25">
      <c r="A667">
        <v>666</v>
      </c>
      <c r="B667" t="s">
        <v>4205</v>
      </c>
      <c r="C667" t="s">
        <v>83</v>
      </c>
      <c r="D667" t="s">
        <v>1596</v>
      </c>
      <c r="E667" s="7">
        <v>44754</v>
      </c>
      <c r="F667" t="s">
        <v>4206</v>
      </c>
      <c r="G667" t="s">
        <v>4207</v>
      </c>
      <c r="H667" t="s">
        <v>4208</v>
      </c>
      <c r="I667" t="s">
        <v>1639</v>
      </c>
      <c r="J667" t="s">
        <v>397</v>
      </c>
      <c r="K667" s="7">
        <v>27179</v>
      </c>
    </row>
    <row r="668" spans="1:11" x14ac:dyDescent="0.25">
      <c r="A668">
        <v>667</v>
      </c>
      <c r="B668" t="s">
        <v>4209</v>
      </c>
      <c r="C668" t="s">
        <v>83</v>
      </c>
      <c r="D668" t="s">
        <v>1598</v>
      </c>
      <c r="E668" s="7">
        <v>42632</v>
      </c>
      <c r="F668" t="s">
        <v>4210</v>
      </c>
      <c r="G668" t="s">
        <v>4211</v>
      </c>
      <c r="H668" t="s">
        <v>4212</v>
      </c>
      <c r="I668" t="s">
        <v>1738</v>
      </c>
      <c r="J668" t="s">
        <v>1640</v>
      </c>
      <c r="K668" s="7">
        <v>26026</v>
      </c>
    </row>
    <row r="669" spans="1:11" x14ac:dyDescent="0.25">
      <c r="A669">
        <v>668</v>
      </c>
      <c r="B669" t="s">
        <v>4213</v>
      </c>
      <c r="C669" t="s">
        <v>83</v>
      </c>
      <c r="D669" t="s">
        <v>1600</v>
      </c>
      <c r="E669" s="7">
        <v>41053</v>
      </c>
      <c r="F669" t="s">
        <v>4214</v>
      </c>
      <c r="G669" t="s">
        <v>4215</v>
      </c>
      <c r="H669" t="s">
        <v>4216</v>
      </c>
      <c r="I669" t="s">
        <v>1645</v>
      </c>
      <c r="J669" t="s">
        <v>397</v>
      </c>
      <c r="K669" s="7">
        <v>23909</v>
      </c>
    </row>
    <row r="670" spans="1:11" x14ac:dyDescent="0.25">
      <c r="A670">
        <v>669</v>
      </c>
      <c r="B670" t="s">
        <v>4217</v>
      </c>
      <c r="C670" t="s">
        <v>75</v>
      </c>
      <c r="D670" t="s">
        <v>1604</v>
      </c>
      <c r="E670" s="7">
        <v>43893</v>
      </c>
      <c r="F670" t="s">
        <v>4218</v>
      </c>
      <c r="G670" t="s">
        <v>4219</v>
      </c>
      <c r="H670" t="s">
        <v>4220</v>
      </c>
      <c r="I670" t="s">
        <v>1639</v>
      </c>
      <c r="J670" t="s">
        <v>467</v>
      </c>
      <c r="K670" s="7">
        <v>24739</v>
      </c>
    </row>
    <row r="671" spans="1:11" x14ac:dyDescent="0.25">
      <c r="A671">
        <v>670</v>
      </c>
      <c r="B671" t="s">
        <v>4221</v>
      </c>
      <c r="C671" t="s">
        <v>75</v>
      </c>
      <c r="D671" t="s">
        <v>1610</v>
      </c>
      <c r="E671" s="7">
        <v>40261</v>
      </c>
      <c r="F671" t="s">
        <v>4222</v>
      </c>
      <c r="G671" t="s">
        <v>4223</v>
      </c>
      <c r="H671" t="s">
        <v>4224</v>
      </c>
      <c r="I671" t="s">
        <v>1639</v>
      </c>
      <c r="J671" t="s">
        <v>1640</v>
      </c>
      <c r="K671" s="7">
        <v>29048</v>
      </c>
    </row>
    <row r="672" spans="1:11" x14ac:dyDescent="0.25">
      <c r="A672">
        <v>671</v>
      </c>
      <c r="B672" t="s">
        <v>4225</v>
      </c>
      <c r="C672" t="s">
        <v>83</v>
      </c>
      <c r="D672" t="s">
        <v>1598</v>
      </c>
      <c r="E672" s="7">
        <v>43192</v>
      </c>
      <c r="F672" t="s">
        <v>4226</v>
      </c>
      <c r="G672" t="s">
        <v>4227</v>
      </c>
      <c r="H672" t="s">
        <v>4228</v>
      </c>
      <c r="I672" t="s">
        <v>1738</v>
      </c>
      <c r="J672" t="s">
        <v>1649</v>
      </c>
      <c r="K672" s="7">
        <v>30223</v>
      </c>
    </row>
    <row r="673" spans="1:11" x14ac:dyDescent="0.25">
      <c r="A673">
        <v>672</v>
      </c>
      <c r="B673" t="s">
        <v>4229</v>
      </c>
      <c r="C673" t="s">
        <v>83</v>
      </c>
      <c r="D673" t="s">
        <v>1598</v>
      </c>
      <c r="E673" s="7">
        <v>43344</v>
      </c>
      <c r="F673" t="s">
        <v>4230</v>
      </c>
      <c r="G673">
        <f>1-408-595-8832</f>
        <v>-9834</v>
      </c>
      <c r="H673" t="s">
        <v>4231</v>
      </c>
      <c r="I673" t="s">
        <v>1634</v>
      </c>
      <c r="J673" t="s">
        <v>1640</v>
      </c>
      <c r="K673" s="7">
        <v>36018</v>
      </c>
    </row>
    <row r="674" spans="1:11" x14ac:dyDescent="0.25">
      <c r="A674">
        <v>673</v>
      </c>
      <c r="B674" t="s">
        <v>4232</v>
      </c>
      <c r="C674" t="s">
        <v>75</v>
      </c>
      <c r="D674" t="s">
        <v>1604</v>
      </c>
      <c r="E674" s="7">
        <v>44831</v>
      </c>
      <c r="F674" t="s">
        <v>4233</v>
      </c>
      <c r="G674" t="s">
        <v>4234</v>
      </c>
      <c r="H674" t="s">
        <v>4235</v>
      </c>
      <c r="I674" t="s">
        <v>1634</v>
      </c>
      <c r="J674" t="s">
        <v>467</v>
      </c>
      <c r="K674" s="7">
        <v>25540</v>
      </c>
    </row>
    <row r="675" spans="1:11" x14ac:dyDescent="0.25">
      <c r="A675">
        <v>674</v>
      </c>
      <c r="B675" t="s">
        <v>4236</v>
      </c>
      <c r="C675" t="s">
        <v>83</v>
      </c>
      <c r="D675" t="s">
        <v>1610</v>
      </c>
      <c r="E675" s="7">
        <v>38553</v>
      </c>
      <c r="F675" t="s">
        <v>4237</v>
      </c>
      <c r="G675" t="s">
        <v>4238</v>
      </c>
      <c r="H675" t="s">
        <v>4239</v>
      </c>
      <c r="I675" t="s">
        <v>1645</v>
      </c>
      <c r="J675" t="s">
        <v>1649</v>
      </c>
      <c r="K675" s="7">
        <v>32678</v>
      </c>
    </row>
    <row r="676" spans="1:11" x14ac:dyDescent="0.25">
      <c r="A676">
        <v>675</v>
      </c>
      <c r="B676" t="s">
        <v>4240</v>
      </c>
      <c r="C676" t="s">
        <v>75</v>
      </c>
      <c r="D676" t="s">
        <v>1604</v>
      </c>
      <c r="E676" s="7">
        <v>43246</v>
      </c>
      <c r="F676" t="s">
        <v>4241</v>
      </c>
      <c r="G676" t="s">
        <v>4242</v>
      </c>
      <c r="H676" t="s">
        <v>4243</v>
      </c>
      <c r="I676" t="s">
        <v>1654</v>
      </c>
      <c r="J676" t="s">
        <v>467</v>
      </c>
      <c r="K676" s="7">
        <v>32631</v>
      </c>
    </row>
    <row r="677" spans="1:11" x14ac:dyDescent="0.25">
      <c r="A677">
        <v>676</v>
      </c>
      <c r="B677" t="s">
        <v>4244</v>
      </c>
      <c r="C677" t="s">
        <v>75</v>
      </c>
      <c r="D677" t="s">
        <v>1606</v>
      </c>
      <c r="E677" s="7">
        <v>44438</v>
      </c>
      <c r="F677" t="s">
        <v>4245</v>
      </c>
      <c r="G677" t="s">
        <v>4246</v>
      </c>
      <c r="H677" t="s">
        <v>4247</v>
      </c>
      <c r="I677" t="s">
        <v>1639</v>
      </c>
      <c r="J677" t="s">
        <v>467</v>
      </c>
      <c r="K677" s="7">
        <v>30773</v>
      </c>
    </row>
    <row r="678" spans="1:11" x14ac:dyDescent="0.25">
      <c r="A678">
        <v>677</v>
      </c>
      <c r="B678" t="s">
        <v>4248</v>
      </c>
      <c r="C678" t="s">
        <v>83</v>
      </c>
      <c r="D678" t="s">
        <v>1604</v>
      </c>
      <c r="E678" s="7">
        <v>45080</v>
      </c>
      <c r="F678" t="s">
        <v>4249</v>
      </c>
      <c r="G678" t="s">
        <v>4250</v>
      </c>
      <c r="H678" t="s">
        <v>4251</v>
      </c>
      <c r="I678" t="s">
        <v>1654</v>
      </c>
      <c r="J678" t="s">
        <v>1663</v>
      </c>
      <c r="K678" s="7">
        <v>36986</v>
      </c>
    </row>
    <row r="679" spans="1:11" x14ac:dyDescent="0.25">
      <c r="A679">
        <v>678</v>
      </c>
      <c r="B679" t="s">
        <v>4252</v>
      </c>
      <c r="C679" t="s">
        <v>75</v>
      </c>
      <c r="D679" t="s">
        <v>1608</v>
      </c>
      <c r="E679" s="7">
        <v>44061</v>
      </c>
      <c r="F679" t="s">
        <v>4253</v>
      </c>
      <c r="G679" t="s">
        <v>4254</v>
      </c>
      <c r="H679" t="s">
        <v>4255</v>
      </c>
      <c r="I679" t="s">
        <v>1645</v>
      </c>
      <c r="J679" t="s">
        <v>1649</v>
      </c>
      <c r="K679" s="7">
        <v>35412</v>
      </c>
    </row>
    <row r="680" spans="1:11" x14ac:dyDescent="0.25">
      <c r="A680">
        <v>679</v>
      </c>
      <c r="B680" t="s">
        <v>4256</v>
      </c>
      <c r="C680" t="s">
        <v>83</v>
      </c>
      <c r="D680" t="s">
        <v>1600</v>
      </c>
      <c r="E680" s="7">
        <v>45682</v>
      </c>
      <c r="F680" t="s">
        <v>4257</v>
      </c>
      <c r="G680" t="s">
        <v>4258</v>
      </c>
      <c r="H680" t="s">
        <v>4259</v>
      </c>
      <c r="I680" t="s">
        <v>1654</v>
      </c>
      <c r="J680" t="s">
        <v>1649</v>
      </c>
      <c r="K680" s="7">
        <v>35371</v>
      </c>
    </row>
    <row r="681" spans="1:11" x14ac:dyDescent="0.25">
      <c r="A681">
        <v>680</v>
      </c>
      <c r="B681" t="s">
        <v>4260</v>
      </c>
      <c r="C681" t="s">
        <v>83</v>
      </c>
      <c r="D681" t="s">
        <v>1600</v>
      </c>
      <c r="E681" s="7">
        <v>43484</v>
      </c>
      <c r="F681" t="s">
        <v>4261</v>
      </c>
      <c r="G681" t="s">
        <v>4262</v>
      </c>
      <c r="H681" t="s">
        <v>4263</v>
      </c>
      <c r="I681" t="s">
        <v>1738</v>
      </c>
      <c r="J681" t="s">
        <v>467</v>
      </c>
      <c r="K681" s="7">
        <v>36167</v>
      </c>
    </row>
    <row r="682" spans="1:11" x14ac:dyDescent="0.25">
      <c r="A682">
        <v>681</v>
      </c>
      <c r="B682" t="s">
        <v>4264</v>
      </c>
      <c r="C682" t="s">
        <v>75</v>
      </c>
      <c r="D682" t="s">
        <v>1604</v>
      </c>
      <c r="E682" s="7">
        <v>45245</v>
      </c>
      <c r="F682" t="s">
        <v>4265</v>
      </c>
      <c r="G682">
        <v>5017716205</v>
      </c>
      <c r="H682" t="s">
        <v>4266</v>
      </c>
      <c r="I682" t="s">
        <v>1639</v>
      </c>
      <c r="J682" t="s">
        <v>397</v>
      </c>
      <c r="K682" s="7">
        <v>27658</v>
      </c>
    </row>
    <row r="683" spans="1:11" x14ac:dyDescent="0.25">
      <c r="A683">
        <v>682</v>
      </c>
      <c r="B683" t="s">
        <v>4267</v>
      </c>
      <c r="C683" t="s">
        <v>83</v>
      </c>
      <c r="D683" t="s">
        <v>1610</v>
      </c>
      <c r="E683" s="7">
        <v>44264</v>
      </c>
      <c r="F683" t="s">
        <v>4268</v>
      </c>
      <c r="G683" t="s">
        <v>4269</v>
      </c>
      <c r="H683" t="s">
        <v>4270</v>
      </c>
      <c r="I683" t="s">
        <v>1639</v>
      </c>
      <c r="J683" t="s">
        <v>1640</v>
      </c>
      <c r="K683" s="7">
        <v>25432</v>
      </c>
    </row>
    <row r="684" spans="1:11" x14ac:dyDescent="0.25">
      <c r="A684">
        <v>683</v>
      </c>
      <c r="B684" t="s">
        <v>4271</v>
      </c>
      <c r="C684" t="s">
        <v>83</v>
      </c>
      <c r="D684" t="s">
        <v>1606</v>
      </c>
      <c r="E684" s="7">
        <v>42486</v>
      </c>
      <c r="F684" t="s">
        <v>4272</v>
      </c>
      <c r="G684" t="s">
        <v>4273</v>
      </c>
      <c r="H684" t="s">
        <v>4274</v>
      </c>
      <c r="I684" t="s">
        <v>1738</v>
      </c>
      <c r="J684" t="s">
        <v>1649</v>
      </c>
      <c r="K684" s="7">
        <v>29289</v>
      </c>
    </row>
    <row r="685" spans="1:11" x14ac:dyDescent="0.25">
      <c r="A685">
        <v>684</v>
      </c>
      <c r="B685" t="s">
        <v>4275</v>
      </c>
      <c r="C685" t="s">
        <v>83</v>
      </c>
      <c r="D685" t="s">
        <v>1598</v>
      </c>
      <c r="E685" s="7">
        <v>40598</v>
      </c>
      <c r="F685" t="s">
        <v>4276</v>
      </c>
      <c r="G685" t="s">
        <v>4277</v>
      </c>
      <c r="H685" t="s">
        <v>4278</v>
      </c>
      <c r="I685" t="s">
        <v>1634</v>
      </c>
      <c r="J685" t="s">
        <v>397</v>
      </c>
      <c r="K685" s="7">
        <v>33545</v>
      </c>
    </row>
    <row r="686" spans="1:11" x14ac:dyDescent="0.25">
      <c r="A686">
        <v>685</v>
      </c>
      <c r="B686" t="s">
        <v>4279</v>
      </c>
      <c r="C686" t="s">
        <v>75</v>
      </c>
      <c r="D686" t="s">
        <v>1598</v>
      </c>
      <c r="E686" s="7">
        <v>45067</v>
      </c>
      <c r="F686" t="s">
        <v>4280</v>
      </c>
      <c r="G686" t="s">
        <v>4281</v>
      </c>
      <c r="H686" t="s">
        <v>4282</v>
      </c>
      <c r="I686" t="s">
        <v>1654</v>
      </c>
      <c r="J686" t="s">
        <v>1663</v>
      </c>
      <c r="K686" s="7">
        <v>34898</v>
      </c>
    </row>
    <row r="687" spans="1:11" x14ac:dyDescent="0.25">
      <c r="A687">
        <v>686</v>
      </c>
      <c r="B687" t="s">
        <v>4283</v>
      </c>
      <c r="C687" t="s">
        <v>83</v>
      </c>
      <c r="D687" t="s">
        <v>1614</v>
      </c>
      <c r="E687" s="7">
        <v>44549</v>
      </c>
      <c r="F687" t="s">
        <v>4284</v>
      </c>
      <c r="G687" t="s">
        <v>4285</v>
      </c>
      <c r="H687" t="s">
        <v>4286</v>
      </c>
      <c r="I687" t="s">
        <v>1634</v>
      </c>
      <c r="J687" t="s">
        <v>467</v>
      </c>
      <c r="K687" s="7">
        <v>37243</v>
      </c>
    </row>
    <row r="688" spans="1:11" x14ac:dyDescent="0.25">
      <c r="A688">
        <v>687</v>
      </c>
      <c r="B688" t="s">
        <v>4287</v>
      </c>
      <c r="C688" t="s">
        <v>75</v>
      </c>
      <c r="D688" t="s">
        <v>1606</v>
      </c>
      <c r="E688" s="7">
        <v>38839</v>
      </c>
      <c r="F688" t="s">
        <v>4288</v>
      </c>
      <c r="G688" t="s">
        <v>4289</v>
      </c>
      <c r="H688" t="s">
        <v>4290</v>
      </c>
      <c r="I688" t="s">
        <v>1634</v>
      </c>
      <c r="J688" t="s">
        <v>1649</v>
      </c>
      <c r="K688" s="7">
        <v>28716</v>
      </c>
    </row>
    <row r="689" spans="1:11" x14ac:dyDescent="0.25">
      <c r="A689">
        <v>688</v>
      </c>
      <c r="B689" t="s">
        <v>4291</v>
      </c>
      <c r="C689" t="s">
        <v>83</v>
      </c>
      <c r="D689" t="s">
        <v>1612</v>
      </c>
      <c r="E689" s="7">
        <v>43955</v>
      </c>
      <c r="F689" t="s">
        <v>4292</v>
      </c>
      <c r="G689" t="s">
        <v>4293</v>
      </c>
      <c r="H689" t="s">
        <v>4294</v>
      </c>
      <c r="I689" t="s">
        <v>1639</v>
      </c>
      <c r="J689" t="s">
        <v>397</v>
      </c>
      <c r="K689" s="7">
        <v>35446</v>
      </c>
    </row>
    <row r="690" spans="1:11" x14ac:dyDescent="0.25">
      <c r="A690">
        <v>689</v>
      </c>
      <c r="B690" t="s">
        <v>4295</v>
      </c>
      <c r="C690" t="s">
        <v>83</v>
      </c>
      <c r="D690" t="s">
        <v>1598</v>
      </c>
      <c r="E690" s="7">
        <v>43764</v>
      </c>
      <c r="F690" t="s">
        <v>4296</v>
      </c>
      <c r="G690" t="s">
        <v>4297</v>
      </c>
      <c r="H690" t="s">
        <v>4298</v>
      </c>
      <c r="I690" t="s">
        <v>1654</v>
      </c>
      <c r="J690" t="s">
        <v>1663</v>
      </c>
      <c r="K690" s="7">
        <v>29434</v>
      </c>
    </row>
    <row r="691" spans="1:11" x14ac:dyDescent="0.25">
      <c r="A691">
        <v>690</v>
      </c>
      <c r="B691" t="s">
        <v>4299</v>
      </c>
      <c r="C691" t="s">
        <v>75</v>
      </c>
      <c r="D691" t="s">
        <v>1614</v>
      </c>
      <c r="E691" s="7">
        <v>44136</v>
      </c>
      <c r="F691" t="s">
        <v>4300</v>
      </c>
      <c r="G691" t="s">
        <v>4301</v>
      </c>
      <c r="H691" t="s">
        <v>4302</v>
      </c>
      <c r="I691" t="s">
        <v>1645</v>
      </c>
      <c r="J691" t="s">
        <v>1640</v>
      </c>
      <c r="K691" s="7">
        <v>31366</v>
      </c>
    </row>
    <row r="692" spans="1:11" x14ac:dyDescent="0.25">
      <c r="A692">
        <v>691</v>
      </c>
      <c r="B692" t="s">
        <v>4303</v>
      </c>
      <c r="C692" t="s">
        <v>83</v>
      </c>
      <c r="D692" t="s">
        <v>1600</v>
      </c>
      <c r="E692" s="7">
        <v>43488</v>
      </c>
      <c r="F692" t="s">
        <v>4304</v>
      </c>
      <c r="G692" t="s">
        <v>4305</v>
      </c>
      <c r="H692" t="s">
        <v>4306</v>
      </c>
      <c r="I692" t="s">
        <v>1634</v>
      </c>
      <c r="J692" t="s">
        <v>1649</v>
      </c>
      <c r="K692" s="7">
        <v>25341</v>
      </c>
    </row>
    <row r="693" spans="1:11" x14ac:dyDescent="0.25">
      <c r="A693">
        <v>692</v>
      </c>
      <c r="B693" t="s">
        <v>4307</v>
      </c>
      <c r="C693" t="s">
        <v>83</v>
      </c>
      <c r="D693" t="s">
        <v>1602</v>
      </c>
      <c r="E693" s="7">
        <v>43938</v>
      </c>
      <c r="F693" t="s">
        <v>4308</v>
      </c>
      <c r="G693" t="s">
        <v>4309</v>
      </c>
      <c r="H693" t="s">
        <v>4310</v>
      </c>
      <c r="I693" t="s">
        <v>1645</v>
      </c>
      <c r="J693" t="s">
        <v>1663</v>
      </c>
      <c r="K693" s="7">
        <v>24144</v>
      </c>
    </row>
    <row r="694" spans="1:11" x14ac:dyDescent="0.25">
      <c r="A694">
        <v>693</v>
      </c>
      <c r="B694" t="s">
        <v>4311</v>
      </c>
      <c r="C694" t="s">
        <v>75</v>
      </c>
      <c r="D694" t="s">
        <v>1614</v>
      </c>
      <c r="E694" s="7">
        <v>43928</v>
      </c>
      <c r="F694" t="s">
        <v>4312</v>
      </c>
      <c r="G694" t="s">
        <v>4313</v>
      </c>
      <c r="H694" t="s">
        <v>4314</v>
      </c>
      <c r="I694" t="s">
        <v>1738</v>
      </c>
      <c r="J694" t="s">
        <v>1649</v>
      </c>
      <c r="K694" s="7">
        <v>24579</v>
      </c>
    </row>
    <row r="695" spans="1:11" x14ac:dyDescent="0.25">
      <c r="A695">
        <v>694</v>
      </c>
      <c r="B695" t="s">
        <v>4315</v>
      </c>
      <c r="C695" t="s">
        <v>75</v>
      </c>
      <c r="D695" t="s">
        <v>1614</v>
      </c>
      <c r="E695" s="7">
        <v>41589</v>
      </c>
      <c r="F695" t="s">
        <v>4316</v>
      </c>
      <c r="G695" t="s">
        <v>4317</v>
      </c>
      <c r="H695" t="s">
        <v>4318</v>
      </c>
      <c r="I695" t="s">
        <v>1645</v>
      </c>
      <c r="J695" t="s">
        <v>1663</v>
      </c>
      <c r="K695" s="7">
        <v>36053</v>
      </c>
    </row>
    <row r="696" spans="1:11" x14ac:dyDescent="0.25">
      <c r="A696">
        <v>695</v>
      </c>
      <c r="B696" t="s">
        <v>4319</v>
      </c>
      <c r="C696" t="s">
        <v>83</v>
      </c>
      <c r="D696" t="s">
        <v>1612</v>
      </c>
      <c r="E696" s="7">
        <v>41273</v>
      </c>
      <c r="F696" t="s">
        <v>4320</v>
      </c>
      <c r="G696" t="s">
        <v>4321</v>
      </c>
      <c r="H696" t="s">
        <v>4322</v>
      </c>
      <c r="I696" t="s">
        <v>1634</v>
      </c>
      <c r="J696" t="s">
        <v>1649</v>
      </c>
      <c r="K696" s="7">
        <v>33114</v>
      </c>
    </row>
    <row r="697" spans="1:11" x14ac:dyDescent="0.25">
      <c r="A697">
        <v>696</v>
      </c>
      <c r="B697" t="s">
        <v>4323</v>
      </c>
      <c r="C697" t="s">
        <v>75</v>
      </c>
      <c r="D697" t="s">
        <v>1610</v>
      </c>
      <c r="E697" s="7">
        <v>44072</v>
      </c>
      <c r="F697" t="s">
        <v>4324</v>
      </c>
      <c r="G697" t="s">
        <v>4325</v>
      </c>
      <c r="H697" t="s">
        <v>4326</v>
      </c>
      <c r="I697" t="s">
        <v>1654</v>
      </c>
      <c r="J697" t="s">
        <v>467</v>
      </c>
      <c r="K697" s="7">
        <v>23616</v>
      </c>
    </row>
    <row r="698" spans="1:11" x14ac:dyDescent="0.25">
      <c r="A698">
        <v>697</v>
      </c>
      <c r="B698" t="s">
        <v>4327</v>
      </c>
      <c r="C698" t="s">
        <v>83</v>
      </c>
      <c r="D698" t="s">
        <v>1604</v>
      </c>
      <c r="E698" s="7">
        <v>44624</v>
      </c>
      <c r="F698" t="s">
        <v>4328</v>
      </c>
      <c r="G698" t="s">
        <v>4329</v>
      </c>
      <c r="H698" t="s">
        <v>4330</v>
      </c>
      <c r="I698" t="s">
        <v>1645</v>
      </c>
      <c r="J698" t="s">
        <v>1649</v>
      </c>
      <c r="K698" s="7">
        <v>35427</v>
      </c>
    </row>
    <row r="699" spans="1:11" x14ac:dyDescent="0.25">
      <c r="A699">
        <v>698</v>
      </c>
      <c r="B699" t="s">
        <v>4331</v>
      </c>
      <c r="C699" t="s">
        <v>75</v>
      </c>
      <c r="D699" t="s">
        <v>1598</v>
      </c>
      <c r="E699" s="7">
        <v>44036</v>
      </c>
      <c r="F699" t="s">
        <v>4332</v>
      </c>
      <c r="G699" t="s">
        <v>4333</v>
      </c>
      <c r="H699" t="s">
        <v>4334</v>
      </c>
      <c r="I699" t="s">
        <v>1654</v>
      </c>
      <c r="J699" t="s">
        <v>467</v>
      </c>
      <c r="K699" s="7">
        <v>32602</v>
      </c>
    </row>
    <row r="700" spans="1:11" x14ac:dyDescent="0.25">
      <c r="A700">
        <v>699</v>
      </c>
      <c r="B700" t="s">
        <v>4335</v>
      </c>
      <c r="C700" t="s">
        <v>83</v>
      </c>
      <c r="D700" t="s">
        <v>1602</v>
      </c>
      <c r="E700" s="7">
        <v>43293</v>
      </c>
      <c r="F700" t="s">
        <v>4336</v>
      </c>
      <c r="G700" t="s">
        <v>4337</v>
      </c>
      <c r="H700" t="s">
        <v>4338</v>
      </c>
      <c r="I700" t="s">
        <v>1645</v>
      </c>
      <c r="J700" t="s">
        <v>467</v>
      </c>
      <c r="K700" s="7">
        <v>24471</v>
      </c>
    </row>
    <row r="701" spans="1:11" x14ac:dyDescent="0.25">
      <c r="A701">
        <v>700</v>
      </c>
      <c r="B701" t="s">
        <v>4339</v>
      </c>
      <c r="C701" t="s">
        <v>83</v>
      </c>
      <c r="D701" t="s">
        <v>1600</v>
      </c>
      <c r="E701" s="7">
        <v>42108</v>
      </c>
      <c r="F701" t="s">
        <v>4340</v>
      </c>
      <c r="G701" t="s">
        <v>4341</v>
      </c>
      <c r="H701" t="s">
        <v>4342</v>
      </c>
      <c r="I701" t="s">
        <v>1654</v>
      </c>
      <c r="J701" t="s">
        <v>1649</v>
      </c>
      <c r="K701" s="7">
        <v>27857</v>
      </c>
    </row>
    <row r="702" spans="1:11" x14ac:dyDescent="0.25">
      <c r="A702">
        <v>701</v>
      </c>
      <c r="B702" t="s">
        <v>4343</v>
      </c>
      <c r="C702" t="s">
        <v>75</v>
      </c>
      <c r="D702" t="s">
        <v>1610</v>
      </c>
      <c r="E702" s="7">
        <v>42653</v>
      </c>
      <c r="F702" t="s">
        <v>4344</v>
      </c>
      <c r="G702" t="s">
        <v>4345</v>
      </c>
      <c r="H702" t="s">
        <v>4346</v>
      </c>
      <c r="I702" t="s">
        <v>1639</v>
      </c>
      <c r="J702" t="s">
        <v>397</v>
      </c>
      <c r="K702" s="7">
        <v>30895</v>
      </c>
    </row>
    <row r="703" spans="1:11" x14ac:dyDescent="0.25">
      <c r="A703">
        <v>702</v>
      </c>
      <c r="B703" t="s">
        <v>4347</v>
      </c>
      <c r="C703" t="s">
        <v>83</v>
      </c>
      <c r="D703" t="s">
        <v>1610</v>
      </c>
      <c r="E703" s="7">
        <v>38827</v>
      </c>
      <c r="F703" t="s">
        <v>4348</v>
      </c>
      <c r="G703">
        <v>5219318500</v>
      </c>
      <c r="H703" t="s">
        <v>4349</v>
      </c>
      <c r="I703" t="s">
        <v>1654</v>
      </c>
      <c r="J703" t="s">
        <v>397</v>
      </c>
      <c r="K703" s="7">
        <v>36121</v>
      </c>
    </row>
    <row r="704" spans="1:11" x14ac:dyDescent="0.25">
      <c r="A704">
        <v>703</v>
      </c>
      <c r="B704" t="s">
        <v>4350</v>
      </c>
      <c r="C704" t="s">
        <v>75</v>
      </c>
      <c r="D704" t="s">
        <v>1596</v>
      </c>
      <c r="E704" s="7">
        <v>43363</v>
      </c>
      <c r="F704" t="s">
        <v>4351</v>
      </c>
      <c r="G704" t="s">
        <v>4352</v>
      </c>
      <c r="H704" t="s">
        <v>4353</v>
      </c>
      <c r="I704" t="s">
        <v>1654</v>
      </c>
      <c r="J704" t="s">
        <v>1649</v>
      </c>
      <c r="K704" s="7">
        <v>24766</v>
      </c>
    </row>
    <row r="705" spans="1:11" x14ac:dyDescent="0.25">
      <c r="A705">
        <v>704</v>
      </c>
      <c r="B705" t="s">
        <v>4354</v>
      </c>
      <c r="C705" t="s">
        <v>75</v>
      </c>
      <c r="D705" t="s">
        <v>1612</v>
      </c>
      <c r="E705" s="7">
        <v>39548</v>
      </c>
      <c r="F705" t="s">
        <v>4355</v>
      </c>
      <c r="G705" t="s">
        <v>4356</v>
      </c>
      <c r="H705" t="s">
        <v>4357</v>
      </c>
      <c r="I705" t="s">
        <v>1654</v>
      </c>
      <c r="J705" t="s">
        <v>1649</v>
      </c>
      <c r="K705" s="7">
        <v>36300</v>
      </c>
    </row>
    <row r="706" spans="1:11" x14ac:dyDescent="0.25">
      <c r="A706">
        <v>705</v>
      </c>
      <c r="B706" t="s">
        <v>4358</v>
      </c>
      <c r="C706" t="s">
        <v>75</v>
      </c>
      <c r="D706" t="s">
        <v>1612</v>
      </c>
      <c r="E706" s="7">
        <v>40605</v>
      </c>
      <c r="F706" t="s">
        <v>4359</v>
      </c>
      <c r="G706" t="s">
        <v>4360</v>
      </c>
      <c r="H706" t="s">
        <v>4361</v>
      </c>
      <c r="I706" t="s">
        <v>1654</v>
      </c>
      <c r="J706" t="s">
        <v>1649</v>
      </c>
      <c r="K706" s="7">
        <v>37292</v>
      </c>
    </row>
    <row r="707" spans="1:11" x14ac:dyDescent="0.25">
      <c r="A707">
        <v>706</v>
      </c>
      <c r="B707" t="s">
        <v>4362</v>
      </c>
      <c r="C707" t="s">
        <v>75</v>
      </c>
      <c r="D707" t="s">
        <v>1604</v>
      </c>
      <c r="E707" s="7">
        <v>45003</v>
      </c>
      <c r="F707" t="s">
        <v>4363</v>
      </c>
      <c r="G707">
        <v>2574910074</v>
      </c>
      <c r="H707" t="s">
        <v>4364</v>
      </c>
      <c r="I707" t="s">
        <v>1738</v>
      </c>
      <c r="J707" t="s">
        <v>1649</v>
      </c>
      <c r="K707" s="7">
        <v>26287</v>
      </c>
    </row>
    <row r="708" spans="1:11" x14ac:dyDescent="0.25">
      <c r="A708">
        <v>707</v>
      </c>
      <c r="B708" t="s">
        <v>4365</v>
      </c>
      <c r="C708" t="s">
        <v>83</v>
      </c>
      <c r="D708" t="s">
        <v>1598</v>
      </c>
      <c r="E708" s="7">
        <v>45311</v>
      </c>
      <c r="F708" t="s">
        <v>4366</v>
      </c>
      <c r="G708" t="s">
        <v>4367</v>
      </c>
      <c r="H708" t="s">
        <v>4368</v>
      </c>
      <c r="I708" t="s">
        <v>1639</v>
      </c>
      <c r="J708" t="s">
        <v>467</v>
      </c>
      <c r="K708" s="7">
        <v>34285</v>
      </c>
    </row>
    <row r="709" spans="1:11" x14ac:dyDescent="0.25">
      <c r="A709">
        <v>708</v>
      </c>
      <c r="B709" t="s">
        <v>4369</v>
      </c>
      <c r="C709" t="s">
        <v>75</v>
      </c>
      <c r="D709" t="s">
        <v>1596</v>
      </c>
      <c r="E709" s="7">
        <v>39434</v>
      </c>
      <c r="F709" t="s">
        <v>4370</v>
      </c>
      <c r="G709" t="s">
        <v>4371</v>
      </c>
      <c r="H709" t="s">
        <v>4372</v>
      </c>
      <c r="I709" t="s">
        <v>1634</v>
      </c>
      <c r="J709" t="s">
        <v>397</v>
      </c>
      <c r="K709" s="7">
        <v>30437</v>
      </c>
    </row>
    <row r="710" spans="1:11" x14ac:dyDescent="0.25">
      <c r="A710">
        <v>709</v>
      </c>
      <c r="B710" t="s">
        <v>4373</v>
      </c>
      <c r="C710" t="s">
        <v>75</v>
      </c>
      <c r="D710" t="s">
        <v>1596</v>
      </c>
      <c r="E710" s="7">
        <v>40036</v>
      </c>
      <c r="F710" t="s">
        <v>4374</v>
      </c>
      <c r="G710" t="s">
        <v>4375</v>
      </c>
      <c r="H710" t="s">
        <v>4376</v>
      </c>
      <c r="I710" t="s">
        <v>1738</v>
      </c>
      <c r="J710" t="s">
        <v>1663</v>
      </c>
      <c r="K710" s="7">
        <v>24756</v>
      </c>
    </row>
    <row r="711" spans="1:11" x14ac:dyDescent="0.25">
      <c r="A711">
        <v>710</v>
      </c>
      <c r="B711" t="s">
        <v>4377</v>
      </c>
      <c r="C711" t="s">
        <v>75</v>
      </c>
      <c r="D711" t="s">
        <v>1606</v>
      </c>
      <c r="E711" s="7">
        <v>45211</v>
      </c>
      <c r="F711" t="s">
        <v>4378</v>
      </c>
      <c r="G711" t="s">
        <v>4379</v>
      </c>
      <c r="H711" t="s">
        <v>4380</v>
      </c>
      <c r="I711" t="s">
        <v>1654</v>
      </c>
      <c r="J711" t="s">
        <v>1640</v>
      </c>
      <c r="K711" s="7">
        <v>34721</v>
      </c>
    </row>
    <row r="712" spans="1:11" x14ac:dyDescent="0.25">
      <c r="A712">
        <v>711</v>
      </c>
      <c r="B712" t="s">
        <v>4381</v>
      </c>
      <c r="C712" t="s">
        <v>75</v>
      </c>
      <c r="D712" t="s">
        <v>1608</v>
      </c>
      <c r="E712" s="7">
        <v>39451</v>
      </c>
      <c r="F712" t="s">
        <v>4382</v>
      </c>
      <c r="G712" t="s">
        <v>4383</v>
      </c>
      <c r="H712" t="s">
        <v>4384</v>
      </c>
      <c r="I712" t="s">
        <v>1639</v>
      </c>
      <c r="J712" t="s">
        <v>1649</v>
      </c>
      <c r="K712" s="7">
        <v>28748</v>
      </c>
    </row>
    <row r="713" spans="1:11" x14ac:dyDescent="0.25">
      <c r="A713">
        <v>712</v>
      </c>
      <c r="B713" t="s">
        <v>4385</v>
      </c>
      <c r="C713" t="s">
        <v>75</v>
      </c>
      <c r="D713" t="s">
        <v>1614</v>
      </c>
      <c r="E713" s="7">
        <v>43817</v>
      </c>
      <c r="F713" t="s">
        <v>4386</v>
      </c>
      <c r="G713" t="s">
        <v>4387</v>
      </c>
      <c r="H713" t="s">
        <v>4388</v>
      </c>
      <c r="I713" t="s">
        <v>1738</v>
      </c>
      <c r="J713" t="s">
        <v>467</v>
      </c>
      <c r="K713" s="7">
        <v>33640</v>
      </c>
    </row>
    <row r="714" spans="1:11" x14ac:dyDescent="0.25">
      <c r="A714">
        <v>713</v>
      </c>
      <c r="B714" t="s">
        <v>4389</v>
      </c>
      <c r="C714" t="s">
        <v>75</v>
      </c>
      <c r="D714" t="s">
        <v>1608</v>
      </c>
      <c r="E714" s="7">
        <v>45452</v>
      </c>
      <c r="F714" t="s">
        <v>4390</v>
      </c>
      <c r="G714" t="s">
        <v>4391</v>
      </c>
      <c r="H714" t="s">
        <v>4392</v>
      </c>
      <c r="I714" t="s">
        <v>1738</v>
      </c>
      <c r="J714" t="s">
        <v>1640</v>
      </c>
      <c r="K714" s="7">
        <v>32357</v>
      </c>
    </row>
    <row r="715" spans="1:11" x14ac:dyDescent="0.25">
      <c r="A715">
        <v>714</v>
      </c>
      <c r="B715" t="s">
        <v>4393</v>
      </c>
      <c r="C715" t="s">
        <v>83</v>
      </c>
      <c r="D715" t="s">
        <v>1606</v>
      </c>
      <c r="E715" s="7">
        <v>39087</v>
      </c>
      <c r="F715" t="s">
        <v>4394</v>
      </c>
      <c r="G715" t="s">
        <v>4395</v>
      </c>
      <c r="H715" t="s">
        <v>4396</v>
      </c>
      <c r="I715" t="s">
        <v>1634</v>
      </c>
      <c r="J715" t="s">
        <v>397</v>
      </c>
      <c r="K715" s="7">
        <v>26481</v>
      </c>
    </row>
    <row r="716" spans="1:11" x14ac:dyDescent="0.25">
      <c r="A716">
        <v>715</v>
      </c>
      <c r="B716" t="s">
        <v>4397</v>
      </c>
      <c r="C716" t="s">
        <v>83</v>
      </c>
      <c r="D716" t="s">
        <v>1596</v>
      </c>
      <c r="E716" s="7">
        <v>38613</v>
      </c>
      <c r="F716" t="s">
        <v>4398</v>
      </c>
      <c r="G716" t="s">
        <v>4399</v>
      </c>
      <c r="H716" t="s">
        <v>4400</v>
      </c>
      <c r="I716" t="s">
        <v>1639</v>
      </c>
      <c r="J716" t="s">
        <v>1663</v>
      </c>
      <c r="K716" s="7">
        <v>27169</v>
      </c>
    </row>
    <row r="717" spans="1:11" x14ac:dyDescent="0.25">
      <c r="A717">
        <v>716</v>
      </c>
      <c r="B717" t="s">
        <v>4401</v>
      </c>
      <c r="C717" t="s">
        <v>75</v>
      </c>
      <c r="D717" t="s">
        <v>1614</v>
      </c>
      <c r="E717" s="7">
        <v>44272</v>
      </c>
      <c r="F717" t="s">
        <v>4402</v>
      </c>
      <c r="G717" t="s">
        <v>4403</v>
      </c>
      <c r="H717" t="s">
        <v>4404</v>
      </c>
      <c r="I717" t="s">
        <v>1639</v>
      </c>
      <c r="J717" t="s">
        <v>1663</v>
      </c>
      <c r="K717" s="7">
        <v>26320</v>
      </c>
    </row>
    <row r="718" spans="1:11" x14ac:dyDescent="0.25">
      <c r="A718">
        <v>717</v>
      </c>
      <c r="B718" t="s">
        <v>4405</v>
      </c>
      <c r="C718" t="s">
        <v>75</v>
      </c>
      <c r="D718" t="s">
        <v>1610</v>
      </c>
      <c r="E718" s="7">
        <v>43936</v>
      </c>
      <c r="F718" t="s">
        <v>4406</v>
      </c>
      <c r="G718" t="s">
        <v>4407</v>
      </c>
      <c r="H718" t="s">
        <v>4408</v>
      </c>
      <c r="I718" t="s">
        <v>1639</v>
      </c>
      <c r="J718" t="s">
        <v>1663</v>
      </c>
      <c r="K718" s="7">
        <v>33439</v>
      </c>
    </row>
    <row r="719" spans="1:11" x14ac:dyDescent="0.25">
      <c r="A719">
        <v>718</v>
      </c>
      <c r="B719" t="s">
        <v>4409</v>
      </c>
      <c r="C719" t="s">
        <v>75</v>
      </c>
      <c r="D719" t="s">
        <v>1600</v>
      </c>
      <c r="E719" s="7">
        <v>41872</v>
      </c>
      <c r="F719" t="s">
        <v>4410</v>
      </c>
      <c r="G719" t="s">
        <v>4411</v>
      </c>
      <c r="H719" t="s">
        <v>4412</v>
      </c>
      <c r="I719" t="s">
        <v>1634</v>
      </c>
      <c r="J719" t="s">
        <v>397</v>
      </c>
      <c r="K719" s="7">
        <v>31482</v>
      </c>
    </row>
    <row r="720" spans="1:11" x14ac:dyDescent="0.25">
      <c r="A720">
        <v>719</v>
      </c>
      <c r="B720" t="s">
        <v>4413</v>
      </c>
      <c r="C720" t="s">
        <v>75</v>
      </c>
      <c r="D720" t="s">
        <v>1596</v>
      </c>
      <c r="E720" s="7">
        <v>45722</v>
      </c>
      <c r="F720" t="s">
        <v>4414</v>
      </c>
      <c r="G720" t="s">
        <v>4415</v>
      </c>
      <c r="H720" t="s">
        <v>4416</v>
      </c>
      <c r="I720" t="s">
        <v>1654</v>
      </c>
      <c r="J720" t="s">
        <v>397</v>
      </c>
      <c r="K720" s="7">
        <v>37526</v>
      </c>
    </row>
    <row r="721" spans="1:11" x14ac:dyDescent="0.25">
      <c r="A721">
        <v>720</v>
      </c>
      <c r="B721" t="s">
        <v>4417</v>
      </c>
      <c r="C721" t="s">
        <v>83</v>
      </c>
      <c r="D721" t="s">
        <v>1608</v>
      </c>
      <c r="E721" s="7">
        <v>43434</v>
      </c>
      <c r="F721" t="s">
        <v>4418</v>
      </c>
      <c r="G721" t="s">
        <v>4419</v>
      </c>
      <c r="H721" t="s">
        <v>4420</v>
      </c>
      <c r="I721" t="s">
        <v>1639</v>
      </c>
      <c r="J721" t="s">
        <v>1640</v>
      </c>
      <c r="K721" s="7">
        <v>35073</v>
      </c>
    </row>
    <row r="722" spans="1:11" x14ac:dyDescent="0.25">
      <c r="A722">
        <v>721</v>
      </c>
      <c r="B722" t="s">
        <v>4421</v>
      </c>
      <c r="C722" t="s">
        <v>75</v>
      </c>
      <c r="D722" t="s">
        <v>1606</v>
      </c>
      <c r="E722" s="7">
        <v>38960</v>
      </c>
      <c r="F722" t="s">
        <v>4422</v>
      </c>
      <c r="G722" t="s">
        <v>4423</v>
      </c>
      <c r="H722" t="s">
        <v>4424</v>
      </c>
      <c r="I722" t="s">
        <v>1634</v>
      </c>
      <c r="J722" t="s">
        <v>1640</v>
      </c>
      <c r="K722" s="7">
        <v>24571</v>
      </c>
    </row>
    <row r="723" spans="1:11" x14ac:dyDescent="0.25">
      <c r="A723">
        <v>722</v>
      </c>
      <c r="B723" t="s">
        <v>4425</v>
      </c>
      <c r="C723" t="s">
        <v>75</v>
      </c>
      <c r="D723" t="s">
        <v>1610</v>
      </c>
      <c r="E723" s="7">
        <v>41499</v>
      </c>
      <c r="F723" t="s">
        <v>4426</v>
      </c>
      <c r="G723" t="s">
        <v>4427</v>
      </c>
      <c r="H723" t="s">
        <v>4428</v>
      </c>
      <c r="I723" t="s">
        <v>1639</v>
      </c>
      <c r="J723" t="s">
        <v>397</v>
      </c>
      <c r="K723" s="7">
        <v>27513</v>
      </c>
    </row>
    <row r="724" spans="1:11" x14ac:dyDescent="0.25">
      <c r="A724">
        <v>723</v>
      </c>
      <c r="B724" t="s">
        <v>4429</v>
      </c>
      <c r="C724" t="s">
        <v>75</v>
      </c>
      <c r="D724" t="s">
        <v>1612</v>
      </c>
      <c r="E724" s="7">
        <v>43247</v>
      </c>
      <c r="F724" t="s">
        <v>4430</v>
      </c>
      <c r="G724" t="s">
        <v>4431</v>
      </c>
      <c r="H724" t="s">
        <v>4432</v>
      </c>
      <c r="I724" t="s">
        <v>1634</v>
      </c>
      <c r="J724" t="s">
        <v>1649</v>
      </c>
      <c r="K724" s="7">
        <v>24768</v>
      </c>
    </row>
    <row r="725" spans="1:11" x14ac:dyDescent="0.25">
      <c r="A725">
        <v>724</v>
      </c>
      <c r="B725" t="s">
        <v>4433</v>
      </c>
      <c r="C725" t="s">
        <v>75</v>
      </c>
      <c r="D725" t="s">
        <v>1606</v>
      </c>
      <c r="E725" s="7">
        <v>45568</v>
      </c>
      <c r="F725" t="s">
        <v>4434</v>
      </c>
      <c r="G725" t="s">
        <v>4435</v>
      </c>
      <c r="H725" t="s">
        <v>4436</v>
      </c>
      <c r="I725" t="s">
        <v>1639</v>
      </c>
      <c r="J725" t="s">
        <v>1640</v>
      </c>
      <c r="K725" s="7">
        <v>37236</v>
      </c>
    </row>
    <row r="726" spans="1:11" x14ac:dyDescent="0.25">
      <c r="A726">
        <v>725</v>
      </c>
      <c r="B726" t="s">
        <v>4437</v>
      </c>
      <c r="C726" t="s">
        <v>83</v>
      </c>
      <c r="D726" t="s">
        <v>1604</v>
      </c>
      <c r="E726" s="7">
        <v>40862</v>
      </c>
      <c r="F726" t="s">
        <v>4438</v>
      </c>
      <c r="G726" t="s">
        <v>4439</v>
      </c>
      <c r="H726" t="s">
        <v>4440</v>
      </c>
      <c r="I726" t="s">
        <v>1738</v>
      </c>
      <c r="J726" t="s">
        <v>1649</v>
      </c>
      <c r="K726" s="7">
        <v>29542</v>
      </c>
    </row>
    <row r="727" spans="1:11" x14ac:dyDescent="0.25">
      <c r="A727">
        <v>726</v>
      </c>
      <c r="B727" t="s">
        <v>4441</v>
      </c>
      <c r="C727" t="s">
        <v>83</v>
      </c>
      <c r="D727" t="s">
        <v>1606</v>
      </c>
      <c r="E727" s="7">
        <v>45317</v>
      </c>
      <c r="F727" t="s">
        <v>4442</v>
      </c>
      <c r="G727" t="s">
        <v>4443</v>
      </c>
      <c r="H727" t="s">
        <v>4444</v>
      </c>
      <c r="I727" t="s">
        <v>1738</v>
      </c>
      <c r="J727" t="s">
        <v>1663</v>
      </c>
      <c r="K727" s="7">
        <v>30946</v>
      </c>
    </row>
    <row r="728" spans="1:11" x14ac:dyDescent="0.25">
      <c r="A728">
        <v>727</v>
      </c>
      <c r="B728" t="s">
        <v>4445</v>
      </c>
      <c r="C728" t="s">
        <v>83</v>
      </c>
      <c r="D728" t="s">
        <v>1606</v>
      </c>
      <c r="E728" s="7">
        <v>39844</v>
      </c>
      <c r="F728" t="s">
        <v>4446</v>
      </c>
      <c r="G728" t="s">
        <v>4447</v>
      </c>
      <c r="H728" t="s">
        <v>4448</v>
      </c>
      <c r="I728" t="s">
        <v>1639</v>
      </c>
      <c r="J728" t="s">
        <v>467</v>
      </c>
      <c r="K728" s="7">
        <v>36854</v>
      </c>
    </row>
    <row r="729" spans="1:11" x14ac:dyDescent="0.25">
      <c r="A729">
        <v>728</v>
      </c>
      <c r="B729" t="s">
        <v>4449</v>
      </c>
      <c r="C729" t="s">
        <v>83</v>
      </c>
      <c r="D729" t="s">
        <v>1600</v>
      </c>
      <c r="E729" s="7">
        <v>41870</v>
      </c>
      <c r="F729" t="s">
        <v>4450</v>
      </c>
      <c r="G729" t="s">
        <v>4451</v>
      </c>
      <c r="H729" t="s">
        <v>4452</v>
      </c>
      <c r="I729" t="s">
        <v>1634</v>
      </c>
      <c r="J729" t="s">
        <v>397</v>
      </c>
      <c r="K729" s="7">
        <v>27942</v>
      </c>
    </row>
    <row r="730" spans="1:11" x14ac:dyDescent="0.25">
      <c r="A730">
        <v>729</v>
      </c>
      <c r="B730" t="s">
        <v>4453</v>
      </c>
      <c r="C730" t="s">
        <v>83</v>
      </c>
      <c r="D730" t="s">
        <v>1598</v>
      </c>
      <c r="E730" s="7">
        <v>39262</v>
      </c>
      <c r="F730" t="s">
        <v>4454</v>
      </c>
      <c r="G730" t="s">
        <v>4455</v>
      </c>
      <c r="H730" t="s">
        <v>4456</v>
      </c>
      <c r="I730" t="s">
        <v>1654</v>
      </c>
      <c r="J730" t="s">
        <v>397</v>
      </c>
      <c r="K730" s="7">
        <v>33346</v>
      </c>
    </row>
    <row r="731" spans="1:11" x14ac:dyDescent="0.25">
      <c r="A731">
        <v>730</v>
      </c>
      <c r="B731" t="s">
        <v>4457</v>
      </c>
      <c r="C731" t="s">
        <v>83</v>
      </c>
      <c r="D731" t="s">
        <v>1602</v>
      </c>
      <c r="E731" s="7">
        <v>45400</v>
      </c>
      <c r="F731" t="s">
        <v>4458</v>
      </c>
      <c r="G731">
        <f>1-978-225-8173</f>
        <v>-9375</v>
      </c>
      <c r="H731" t="s">
        <v>4459</v>
      </c>
      <c r="I731" t="s">
        <v>1639</v>
      </c>
      <c r="J731" t="s">
        <v>1640</v>
      </c>
      <c r="K731" s="7">
        <v>34196</v>
      </c>
    </row>
    <row r="732" spans="1:11" x14ac:dyDescent="0.25">
      <c r="A732">
        <v>731</v>
      </c>
      <c r="B732" t="s">
        <v>4460</v>
      </c>
      <c r="C732" t="s">
        <v>83</v>
      </c>
      <c r="D732" t="s">
        <v>1606</v>
      </c>
      <c r="E732" s="7">
        <v>40245</v>
      </c>
      <c r="F732" t="s">
        <v>4461</v>
      </c>
      <c r="G732" t="s">
        <v>4462</v>
      </c>
      <c r="H732" t="s">
        <v>4463</v>
      </c>
      <c r="I732" t="s">
        <v>1634</v>
      </c>
      <c r="J732" t="s">
        <v>1663</v>
      </c>
      <c r="K732" s="7">
        <v>34412</v>
      </c>
    </row>
    <row r="733" spans="1:11" x14ac:dyDescent="0.25">
      <c r="A733">
        <v>732</v>
      </c>
      <c r="B733" t="s">
        <v>4464</v>
      </c>
      <c r="C733" t="s">
        <v>75</v>
      </c>
      <c r="D733" t="s">
        <v>1610</v>
      </c>
      <c r="E733" s="7">
        <v>41353</v>
      </c>
      <c r="F733" t="s">
        <v>4465</v>
      </c>
      <c r="G733">
        <v>1867078022</v>
      </c>
      <c r="H733" t="s">
        <v>4466</v>
      </c>
      <c r="I733" t="s">
        <v>1639</v>
      </c>
      <c r="J733" t="s">
        <v>1663</v>
      </c>
      <c r="K733" s="7">
        <v>26109</v>
      </c>
    </row>
    <row r="734" spans="1:11" x14ac:dyDescent="0.25">
      <c r="A734">
        <v>733</v>
      </c>
      <c r="B734" t="s">
        <v>4467</v>
      </c>
      <c r="C734" t="s">
        <v>75</v>
      </c>
      <c r="D734" t="s">
        <v>1606</v>
      </c>
      <c r="E734" s="7">
        <v>43621</v>
      </c>
      <c r="F734" t="s">
        <v>4468</v>
      </c>
      <c r="G734" t="s">
        <v>4469</v>
      </c>
      <c r="H734" t="s">
        <v>4470</v>
      </c>
      <c r="I734" t="s">
        <v>1634</v>
      </c>
      <c r="J734" t="s">
        <v>1649</v>
      </c>
      <c r="K734" s="7">
        <v>26563</v>
      </c>
    </row>
    <row r="735" spans="1:11" x14ac:dyDescent="0.25">
      <c r="A735">
        <v>734</v>
      </c>
      <c r="B735" t="s">
        <v>4471</v>
      </c>
      <c r="C735" t="s">
        <v>75</v>
      </c>
      <c r="D735" t="s">
        <v>1604</v>
      </c>
      <c r="E735" s="7">
        <v>44332</v>
      </c>
      <c r="F735" t="s">
        <v>4472</v>
      </c>
      <c r="G735" t="s">
        <v>4473</v>
      </c>
      <c r="H735" t="s">
        <v>4474</v>
      </c>
      <c r="I735" t="s">
        <v>1654</v>
      </c>
      <c r="J735" t="s">
        <v>1640</v>
      </c>
      <c r="K735" s="7">
        <v>25497</v>
      </c>
    </row>
    <row r="736" spans="1:11" x14ac:dyDescent="0.25">
      <c r="A736">
        <v>735</v>
      </c>
      <c r="B736" t="s">
        <v>4475</v>
      </c>
      <c r="C736" t="s">
        <v>83</v>
      </c>
      <c r="D736" t="s">
        <v>1606</v>
      </c>
      <c r="E736" s="7">
        <v>45228</v>
      </c>
      <c r="F736" t="s">
        <v>4476</v>
      </c>
      <c r="G736" t="s">
        <v>4477</v>
      </c>
      <c r="H736" t="s">
        <v>4478</v>
      </c>
      <c r="I736" t="s">
        <v>1634</v>
      </c>
      <c r="J736" t="s">
        <v>467</v>
      </c>
      <c r="K736" s="7">
        <v>29214</v>
      </c>
    </row>
    <row r="737" spans="1:11" x14ac:dyDescent="0.25">
      <c r="A737">
        <v>736</v>
      </c>
      <c r="B737" t="s">
        <v>4479</v>
      </c>
      <c r="C737" t="s">
        <v>75</v>
      </c>
      <c r="D737" t="s">
        <v>1608</v>
      </c>
      <c r="E737" s="7">
        <v>45716</v>
      </c>
      <c r="F737" t="s">
        <v>4480</v>
      </c>
      <c r="G737" t="s">
        <v>4481</v>
      </c>
      <c r="H737" t="s">
        <v>4482</v>
      </c>
      <c r="I737" t="s">
        <v>1634</v>
      </c>
      <c r="J737" t="s">
        <v>1640</v>
      </c>
      <c r="K737" s="7">
        <v>29221</v>
      </c>
    </row>
    <row r="738" spans="1:11" x14ac:dyDescent="0.25">
      <c r="A738">
        <v>737</v>
      </c>
      <c r="B738" t="s">
        <v>4483</v>
      </c>
      <c r="C738" t="s">
        <v>75</v>
      </c>
      <c r="D738" t="s">
        <v>1596</v>
      </c>
      <c r="E738" s="7">
        <v>40179</v>
      </c>
      <c r="F738" t="s">
        <v>4484</v>
      </c>
      <c r="G738" t="s">
        <v>4485</v>
      </c>
      <c r="H738" t="s">
        <v>4486</v>
      </c>
      <c r="I738" t="s">
        <v>1654</v>
      </c>
      <c r="J738" t="s">
        <v>397</v>
      </c>
      <c r="K738" s="7">
        <v>24107</v>
      </c>
    </row>
    <row r="739" spans="1:11" x14ac:dyDescent="0.25">
      <c r="A739">
        <v>738</v>
      </c>
      <c r="B739" t="s">
        <v>4487</v>
      </c>
      <c r="C739" t="s">
        <v>75</v>
      </c>
      <c r="D739" t="s">
        <v>1612</v>
      </c>
      <c r="E739" s="7">
        <v>45660</v>
      </c>
      <c r="F739" t="s">
        <v>4488</v>
      </c>
      <c r="G739" t="s">
        <v>4489</v>
      </c>
      <c r="H739" t="s">
        <v>4490</v>
      </c>
      <c r="I739" t="s">
        <v>1639</v>
      </c>
      <c r="J739" t="s">
        <v>1649</v>
      </c>
      <c r="K739" s="7">
        <v>31154</v>
      </c>
    </row>
    <row r="740" spans="1:11" x14ac:dyDescent="0.25">
      <c r="A740">
        <v>739</v>
      </c>
      <c r="B740" t="s">
        <v>4491</v>
      </c>
      <c r="C740" t="s">
        <v>75</v>
      </c>
      <c r="D740" t="s">
        <v>1604</v>
      </c>
      <c r="E740" s="7">
        <v>40943</v>
      </c>
      <c r="F740" t="s">
        <v>4492</v>
      </c>
      <c r="G740" t="s">
        <v>4493</v>
      </c>
      <c r="H740" t="s">
        <v>4494</v>
      </c>
      <c r="I740" t="s">
        <v>1654</v>
      </c>
      <c r="J740" t="s">
        <v>1640</v>
      </c>
      <c r="K740" s="7">
        <v>30166</v>
      </c>
    </row>
    <row r="741" spans="1:11" x14ac:dyDescent="0.25">
      <c r="A741">
        <v>740</v>
      </c>
      <c r="B741" t="s">
        <v>4495</v>
      </c>
      <c r="C741" t="s">
        <v>75</v>
      </c>
      <c r="D741" t="s">
        <v>1610</v>
      </c>
      <c r="E741" s="7">
        <v>44300</v>
      </c>
      <c r="F741" t="s">
        <v>4496</v>
      </c>
      <c r="G741" t="s">
        <v>4497</v>
      </c>
      <c r="H741" t="s">
        <v>4498</v>
      </c>
      <c r="I741" t="s">
        <v>1634</v>
      </c>
      <c r="J741" t="s">
        <v>467</v>
      </c>
      <c r="K741" s="7">
        <v>24057</v>
      </c>
    </row>
    <row r="742" spans="1:11" x14ac:dyDescent="0.25">
      <c r="A742">
        <v>741</v>
      </c>
      <c r="B742" t="s">
        <v>4499</v>
      </c>
      <c r="C742" t="s">
        <v>75</v>
      </c>
      <c r="D742" t="s">
        <v>1612</v>
      </c>
      <c r="E742" s="7">
        <v>40132</v>
      </c>
      <c r="F742" t="s">
        <v>4500</v>
      </c>
      <c r="G742" t="s">
        <v>4501</v>
      </c>
      <c r="H742" t="s">
        <v>4502</v>
      </c>
      <c r="I742" t="s">
        <v>1634</v>
      </c>
      <c r="J742" t="s">
        <v>397</v>
      </c>
      <c r="K742" s="7">
        <v>29868</v>
      </c>
    </row>
    <row r="743" spans="1:11" x14ac:dyDescent="0.25">
      <c r="A743">
        <v>742</v>
      </c>
      <c r="B743" t="s">
        <v>4503</v>
      </c>
      <c r="C743" t="s">
        <v>75</v>
      </c>
      <c r="D743" t="s">
        <v>1600</v>
      </c>
      <c r="E743" s="7">
        <v>39525</v>
      </c>
      <c r="F743" t="s">
        <v>4504</v>
      </c>
      <c r="G743" t="s">
        <v>4505</v>
      </c>
      <c r="H743" t="s">
        <v>4506</v>
      </c>
      <c r="I743" t="s">
        <v>1639</v>
      </c>
      <c r="J743" t="s">
        <v>1640</v>
      </c>
      <c r="K743" s="7">
        <v>26713</v>
      </c>
    </row>
    <row r="744" spans="1:11" x14ac:dyDescent="0.25">
      <c r="A744">
        <v>743</v>
      </c>
      <c r="B744" t="s">
        <v>4507</v>
      </c>
      <c r="C744" t="s">
        <v>75</v>
      </c>
      <c r="D744" t="s">
        <v>1600</v>
      </c>
      <c r="E744" s="7">
        <v>38590</v>
      </c>
      <c r="F744" t="s">
        <v>4508</v>
      </c>
      <c r="G744" t="s">
        <v>4509</v>
      </c>
      <c r="H744" t="s">
        <v>4510</v>
      </c>
      <c r="I744" t="s">
        <v>1654</v>
      </c>
      <c r="J744" t="s">
        <v>1649</v>
      </c>
      <c r="K744" s="7">
        <v>33854</v>
      </c>
    </row>
    <row r="745" spans="1:11" x14ac:dyDescent="0.25">
      <c r="A745">
        <v>744</v>
      </c>
      <c r="B745" t="s">
        <v>4511</v>
      </c>
      <c r="C745" t="s">
        <v>75</v>
      </c>
      <c r="D745" t="s">
        <v>1614</v>
      </c>
      <c r="E745" s="7">
        <v>40155</v>
      </c>
      <c r="F745" t="s">
        <v>4512</v>
      </c>
      <c r="G745" t="s">
        <v>4513</v>
      </c>
      <c r="H745" t="s">
        <v>4514</v>
      </c>
      <c r="I745" t="s">
        <v>1645</v>
      </c>
      <c r="J745" t="s">
        <v>467</v>
      </c>
      <c r="K745" s="7">
        <v>28244</v>
      </c>
    </row>
    <row r="746" spans="1:11" x14ac:dyDescent="0.25">
      <c r="A746">
        <v>745</v>
      </c>
      <c r="B746" t="s">
        <v>4515</v>
      </c>
      <c r="C746" t="s">
        <v>83</v>
      </c>
      <c r="D746" t="s">
        <v>1602</v>
      </c>
      <c r="E746" s="7">
        <v>41554</v>
      </c>
      <c r="F746" t="s">
        <v>4516</v>
      </c>
      <c r="G746" t="s">
        <v>4517</v>
      </c>
      <c r="H746" t="s">
        <v>4518</v>
      </c>
      <c r="I746" t="s">
        <v>1738</v>
      </c>
      <c r="J746" t="s">
        <v>467</v>
      </c>
      <c r="K746" s="7">
        <v>24372</v>
      </c>
    </row>
    <row r="747" spans="1:11" x14ac:dyDescent="0.25">
      <c r="A747">
        <v>746</v>
      </c>
      <c r="B747" t="s">
        <v>4519</v>
      </c>
      <c r="C747" t="s">
        <v>83</v>
      </c>
      <c r="D747" t="s">
        <v>1604</v>
      </c>
      <c r="E747" s="7">
        <v>43602</v>
      </c>
      <c r="F747" t="s">
        <v>4520</v>
      </c>
      <c r="G747" t="s">
        <v>4521</v>
      </c>
      <c r="H747" t="s">
        <v>4522</v>
      </c>
      <c r="I747" t="s">
        <v>1634</v>
      </c>
      <c r="J747" t="s">
        <v>467</v>
      </c>
      <c r="K747" s="7">
        <v>28835</v>
      </c>
    </row>
    <row r="748" spans="1:11" x14ac:dyDescent="0.25">
      <c r="A748">
        <v>747</v>
      </c>
      <c r="B748" t="s">
        <v>4523</v>
      </c>
      <c r="C748" t="s">
        <v>75</v>
      </c>
      <c r="D748" t="s">
        <v>1612</v>
      </c>
      <c r="E748" s="7">
        <v>42354</v>
      </c>
      <c r="F748" t="s">
        <v>4524</v>
      </c>
      <c r="G748">
        <v>9818047027</v>
      </c>
      <c r="H748" t="s">
        <v>4525</v>
      </c>
      <c r="I748" t="s">
        <v>1738</v>
      </c>
      <c r="J748" t="s">
        <v>397</v>
      </c>
      <c r="K748" s="7">
        <v>30532</v>
      </c>
    </row>
    <row r="749" spans="1:11" x14ac:dyDescent="0.25">
      <c r="A749">
        <v>748</v>
      </c>
      <c r="B749" t="s">
        <v>4526</v>
      </c>
      <c r="C749" t="s">
        <v>83</v>
      </c>
      <c r="D749" t="s">
        <v>1612</v>
      </c>
      <c r="E749" s="7">
        <v>42923</v>
      </c>
      <c r="F749" t="s">
        <v>4527</v>
      </c>
      <c r="G749" t="s">
        <v>4528</v>
      </c>
      <c r="H749" t="s">
        <v>4529</v>
      </c>
      <c r="I749" t="s">
        <v>1654</v>
      </c>
      <c r="J749" t="s">
        <v>1649</v>
      </c>
      <c r="K749" s="7">
        <v>23784</v>
      </c>
    </row>
    <row r="750" spans="1:11" x14ac:dyDescent="0.25">
      <c r="A750">
        <v>749</v>
      </c>
      <c r="B750" t="s">
        <v>4530</v>
      </c>
      <c r="C750" t="s">
        <v>75</v>
      </c>
      <c r="D750" t="s">
        <v>1614</v>
      </c>
      <c r="E750" s="7">
        <v>43007</v>
      </c>
      <c r="F750" t="s">
        <v>4531</v>
      </c>
      <c r="G750" t="s">
        <v>4532</v>
      </c>
      <c r="H750" t="s">
        <v>4533</v>
      </c>
      <c r="I750" t="s">
        <v>1645</v>
      </c>
      <c r="J750" t="s">
        <v>1663</v>
      </c>
      <c r="K750" s="7">
        <v>32849</v>
      </c>
    </row>
    <row r="751" spans="1:11" x14ac:dyDescent="0.25">
      <c r="A751">
        <v>750</v>
      </c>
      <c r="B751" t="s">
        <v>4534</v>
      </c>
      <c r="C751" t="s">
        <v>83</v>
      </c>
      <c r="D751" t="s">
        <v>1614</v>
      </c>
      <c r="E751" s="7">
        <v>41445</v>
      </c>
      <c r="F751" t="s">
        <v>4535</v>
      </c>
      <c r="G751">
        <v>3827948969</v>
      </c>
      <c r="H751" t="s">
        <v>4536</v>
      </c>
      <c r="I751" t="s">
        <v>1639</v>
      </c>
      <c r="J751" t="s">
        <v>467</v>
      </c>
      <c r="K751" s="7">
        <v>34694</v>
      </c>
    </row>
    <row r="752" spans="1:11" x14ac:dyDescent="0.25">
      <c r="A752">
        <v>751</v>
      </c>
      <c r="B752" t="s">
        <v>4537</v>
      </c>
      <c r="C752" t="s">
        <v>83</v>
      </c>
      <c r="D752" t="s">
        <v>1608</v>
      </c>
      <c r="E752" s="7">
        <v>40668</v>
      </c>
      <c r="F752" t="s">
        <v>4538</v>
      </c>
      <c r="G752" t="s">
        <v>4539</v>
      </c>
      <c r="H752" t="s">
        <v>4540</v>
      </c>
      <c r="I752" t="s">
        <v>1738</v>
      </c>
      <c r="J752" t="s">
        <v>467</v>
      </c>
      <c r="K752" s="7">
        <v>27670</v>
      </c>
    </row>
    <row r="753" spans="1:11" x14ac:dyDescent="0.25">
      <c r="A753">
        <v>752</v>
      </c>
      <c r="B753" t="s">
        <v>4541</v>
      </c>
      <c r="C753" t="s">
        <v>75</v>
      </c>
      <c r="D753" t="s">
        <v>1606</v>
      </c>
      <c r="E753" s="7">
        <v>43286</v>
      </c>
      <c r="F753" t="s">
        <v>4542</v>
      </c>
      <c r="G753" t="s">
        <v>4543</v>
      </c>
      <c r="H753" t="s">
        <v>4544</v>
      </c>
      <c r="I753" t="s">
        <v>1634</v>
      </c>
      <c r="J753" t="s">
        <v>397</v>
      </c>
      <c r="K753" s="7">
        <v>26276</v>
      </c>
    </row>
    <row r="754" spans="1:11" x14ac:dyDescent="0.25">
      <c r="A754">
        <v>753</v>
      </c>
      <c r="B754" t="s">
        <v>4545</v>
      </c>
      <c r="C754" t="s">
        <v>75</v>
      </c>
      <c r="D754" t="s">
        <v>1606</v>
      </c>
      <c r="E754" s="7">
        <v>42178</v>
      </c>
      <c r="F754" t="s">
        <v>4546</v>
      </c>
      <c r="G754" t="s">
        <v>4547</v>
      </c>
      <c r="H754" t="s">
        <v>4548</v>
      </c>
      <c r="I754" t="s">
        <v>1639</v>
      </c>
      <c r="J754" t="s">
        <v>1649</v>
      </c>
      <c r="K754" s="7">
        <v>33729</v>
      </c>
    </row>
    <row r="755" spans="1:11" x14ac:dyDescent="0.25">
      <c r="A755">
        <v>754</v>
      </c>
      <c r="B755" t="s">
        <v>4549</v>
      </c>
      <c r="C755" t="s">
        <v>75</v>
      </c>
      <c r="D755" t="s">
        <v>1608</v>
      </c>
      <c r="E755" s="7">
        <v>44812</v>
      </c>
      <c r="F755" t="s">
        <v>4550</v>
      </c>
      <c r="G755" t="s">
        <v>4551</v>
      </c>
      <c r="H755" t="s">
        <v>4552</v>
      </c>
      <c r="I755" t="s">
        <v>1654</v>
      </c>
      <c r="J755" t="s">
        <v>1649</v>
      </c>
      <c r="K755" s="7">
        <v>25874</v>
      </c>
    </row>
    <row r="756" spans="1:11" x14ac:dyDescent="0.25">
      <c r="A756">
        <v>755</v>
      </c>
      <c r="B756" t="s">
        <v>4553</v>
      </c>
      <c r="C756" t="s">
        <v>83</v>
      </c>
      <c r="D756" t="s">
        <v>1614</v>
      </c>
      <c r="E756" s="7">
        <v>42359</v>
      </c>
      <c r="F756" t="s">
        <v>4554</v>
      </c>
      <c r="G756" t="s">
        <v>4555</v>
      </c>
      <c r="H756" t="s">
        <v>4556</v>
      </c>
      <c r="I756" t="s">
        <v>1645</v>
      </c>
      <c r="J756" t="s">
        <v>397</v>
      </c>
      <c r="K756" s="7">
        <v>27089</v>
      </c>
    </row>
    <row r="757" spans="1:11" x14ac:dyDescent="0.25">
      <c r="A757">
        <v>756</v>
      </c>
      <c r="B757" t="s">
        <v>4557</v>
      </c>
      <c r="C757" t="s">
        <v>83</v>
      </c>
      <c r="D757" t="s">
        <v>1600</v>
      </c>
      <c r="E757" s="7">
        <v>44193</v>
      </c>
      <c r="F757" t="s">
        <v>4558</v>
      </c>
      <c r="G757" t="s">
        <v>4559</v>
      </c>
      <c r="H757" t="s">
        <v>4560</v>
      </c>
      <c r="I757" t="s">
        <v>1654</v>
      </c>
      <c r="J757" t="s">
        <v>467</v>
      </c>
      <c r="K757" s="7">
        <v>26535</v>
      </c>
    </row>
    <row r="758" spans="1:11" x14ac:dyDescent="0.25">
      <c r="A758">
        <v>757</v>
      </c>
      <c r="B758" t="s">
        <v>4561</v>
      </c>
      <c r="C758" t="s">
        <v>83</v>
      </c>
      <c r="D758" t="s">
        <v>1600</v>
      </c>
      <c r="E758" s="7">
        <v>45494</v>
      </c>
      <c r="F758" t="s">
        <v>4562</v>
      </c>
      <c r="G758" t="s">
        <v>4563</v>
      </c>
      <c r="H758" t="s">
        <v>4564</v>
      </c>
      <c r="I758" t="s">
        <v>1634</v>
      </c>
      <c r="J758" t="s">
        <v>1640</v>
      </c>
      <c r="K758" s="7">
        <v>29232</v>
      </c>
    </row>
    <row r="759" spans="1:11" x14ac:dyDescent="0.25">
      <c r="A759">
        <v>758</v>
      </c>
      <c r="B759" t="s">
        <v>4565</v>
      </c>
      <c r="C759" t="s">
        <v>75</v>
      </c>
      <c r="D759" t="s">
        <v>1596</v>
      </c>
      <c r="E759" s="7">
        <v>43094</v>
      </c>
      <c r="F759" t="s">
        <v>4566</v>
      </c>
      <c r="G759" t="s">
        <v>4567</v>
      </c>
      <c r="H759" t="s">
        <v>4568</v>
      </c>
      <c r="I759" t="s">
        <v>1738</v>
      </c>
      <c r="J759" t="s">
        <v>467</v>
      </c>
      <c r="K759" s="7">
        <v>29416</v>
      </c>
    </row>
    <row r="760" spans="1:11" x14ac:dyDescent="0.25">
      <c r="A760">
        <v>759</v>
      </c>
      <c r="B760" t="s">
        <v>4569</v>
      </c>
      <c r="C760" t="s">
        <v>83</v>
      </c>
      <c r="D760" t="s">
        <v>1608</v>
      </c>
      <c r="E760" s="7">
        <v>44932</v>
      </c>
      <c r="F760" t="s">
        <v>4570</v>
      </c>
      <c r="G760" t="s">
        <v>4571</v>
      </c>
      <c r="H760" t="s">
        <v>4572</v>
      </c>
      <c r="I760" t="s">
        <v>1738</v>
      </c>
      <c r="J760" t="s">
        <v>467</v>
      </c>
      <c r="K760" s="7">
        <v>29905</v>
      </c>
    </row>
    <row r="761" spans="1:11" x14ac:dyDescent="0.25">
      <c r="A761">
        <v>760</v>
      </c>
      <c r="B761" t="s">
        <v>4573</v>
      </c>
      <c r="C761" t="s">
        <v>75</v>
      </c>
      <c r="D761" t="s">
        <v>1596</v>
      </c>
      <c r="E761" s="7">
        <v>41543</v>
      </c>
      <c r="F761" t="s">
        <v>4574</v>
      </c>
      <c r="G761" t="s">
        <v>4575</v>
      </c>
      <c r="H761" t="s">
        <v>4576</v>
      </c>
      <c r="I761" t="s">
        <v>1639</v>
      </c>
      <c r="J761" t="s">
        <v>1649</v>
      </c>
      <c r="K761" s="7">
        <v>36999</v>
      </c>
    </row>
    <row r="762" spans="1:11" x14ac:dyDescent="0.25">
      <c r="A762">
        <v>761</v>
      </c>
      <c r="B762" t="s">
        <v>4577</v>
      </c>
      <c r="C762" t="s">
        <v>75</v>
      </c>
      <c r="D762" t="s">
        <v>1602</v>
      </c>
      <c r="E762" s="7">
        <v>40025</v>
      </c>
      <c r="F762" t="s">
        <v>4578</v>
      </c>
      <c r="G762" t="s">
        <v>4579</v>
      </c>
      <c r="H762" t="s">
        <v>4580</v>
      </c>
      <c r="I762" t="s">
        <v>1654</v>
      </c>
      <c r="J762" t="s">
        <v>1640</v>
      </c>
      <c r="K762" s="7">
        <v>31180</v>
      </c>
    </row>
    <row r="763" spans="1:11" x14ac:dyDescent="0.25">
      <c r="A763">
        <v>762</v>
      </c>
      <c r="B763" t="s">
        <v>4581</v>
      </c>
      <c r="C763" t="s">
        <v>75</v>
      </c>
      <c r="D763" t="s">
        <v>1602</v>
      </c>
      <c r="E763" s="7">
        <v>40838</v>
      </c>
      <c r="F763" t="s">
        <v>4582</v>
      </c>
      <c r="G763" t="s">
        <v>4583</v>
      </c>
      <c r="H763" t="s">
        <v>4584</v>
      </c>
      <c r="I763" t="s">
        <v>1639</v>
      </c>
      <c r="J763" t="s">
        <v>1640</v>
      </c>
      <c r="K763" s="7">
        <v>25581</v>
      </c>
    </row>
    <row r="764" spans="1:11" x14ac:dyDescent="0.25">
      <c r="A764">
        <v>763</v>
      </c>
      <c r="B764" t="s">
        <v>4585</v>
      </c>
      <c r="C764" t="s">
        <v>83</v>
      </c>
      <c r="D764" t="s">
        <v>1602</v>
      </c>
      <c r="E764" s="7">
        <v>42413</v>
      </c>
      <c r="F764" t="s">
        <v>4586</v>
      </c>
      <c r="G764" t="s">
        <v>4587</v>
      </c>
      <c r="H764" t="s">
        <v>4588</v>
      </c>
      <c r="I764" t="s">
        <v>1738</v>
      </c>
      <c r="J764" t="s">
        <v>397</v>
      </c>
      <c r="K764" s="7">
        <v>31583</v>
      </c>
    </row>
    <row r="765" spans="1:11" x14ac:dyDescent="0.25">
      <c r="A765">
        <v>764</v>
      </c>
      <c r="B765" t="s">
        <v>4589</v>
      </c>
      <c r="C765" t="s">
        <v>75</v>
      </c>
      <c r="D765" t="s">
        <v>1602</v>
      </c>
      <c r="E765" s="7">
        <v>44502</v>
      </c>
      <c r="F765" t="s">
        <v>4590</v>
      </c>
      <c r="G765" t="s">
        <v>4591</v>
      </c>
      <c r="H765" t="s">
        <v>4592</v>
      </c>
      <c r="I765" t="s">
        <v>1634</v>
      </c>
      <c r="J765" t="s">
        <v>1663</v>
      </c>
      <c r="K765" s="7">
        <v>32171</v>
      </c>
    </row>
    <row r="766" spans="1:11" x14ac:dyDescent="0.25">
      <c r="A766">
        <v>765</v>
      </c>
      <c r="B766" t="s">
        <v>4593</v>
      </c>
      <c r="C766" t="s">
        <v>75</v>
      </c>
      <c r="D766" t="s">
        <v>1612</v>
      </c>
      <c r="E766" s="7">
        <v>44702</v>
      </c>
      <c r="F766" t="s">
        <v>4594</v>
      </c>
      <c r="G766" t="s">
        <v>4595</v>
      </c>
      <c r="H766" t="s">
        <v>4596</v>
      </c>
      <c r="I766" t="s">
        <v>1654</v>
      </c>
      <c r="J766" t="s">
        <v>1663</v>
      </c>
      <c r="K766" s="7">
        <v>30464</v>
      </c>
    </row>
    <row r="767" spans="1:11" x14ac:dyDescent="0.25">
      <c r="A767">
        <v>766</v>
      </c>
      <c r="B767" t="s">
        <v>4597</v>
      </c>
      <c r="C767" t="s">
        <v>75</v>
      </c>
      <c r="D767" t="s">
        <v>1608</v>
      </c>
      <c r="E767" s="7">
        <v>39105</v>
      </c>
      <c r="F767" t="s">
        <v>4598</v>
      </c>
      <c r="G767">
        <v>1894343297</v>
      </c>
      <c r="H767" t="s">
        <v>4599</v>
      </c>
      <c r="I767" t="s">
        <v>1639</v>
      </c>
      <c r="J767" t="s">
        <v>1663</v>
      </c>
      <c r="K767" s="7">
        <v>36164</v>
      </c>
    </row>
    <row r="768" spans="1:11" x14ac:dyDescent="0.25">
      <c r="A768">
        <v>767</v>
      </c>
      <c r="B768" t="s">
        <v>4600</v>
      </c>
      <c r="C768" t="s">
        <v>75</v>
      </c>
      <c r="D768" t="s">
        <v>1612</v>
      </c>
      <c r="E768" s="7">
        <v>42302</v>
      </c>
      <c r="F768" t="s">
        <v>4601</v>
      </c>
      <c r="G768" t="s">
        <v>4602</v>
      </c>
      <c r="H768" t="s">
        <v>4603</v>
      </c>
      <c r="I768" t="s">
        <v>1738</v>
      </c>
      <c r="J768" t="s">
        <v>1663</v>
      </c>
      <c r="K768" s="7">
        <v>30450</v>
      </c>
    </row>
    <row r="769" spans="1:11" x14ac:dyDescent="0.25">
      <c r="A769">
        <v>768</v>
      </c>
      <c r="B769" t="s">
        <v>4604</v>
      </c>
      <c r="C769" t="s">
        <v>75</v>
      </c>
      <c r="D769" t="s">
        <v>1602</v>
      </c>
      <c r="E769" s="7">
        <v>38704</v>
      </c>
      <c r="F769" t="s">
        <v>4605</v>
      </c>
      <c r="G769" t="s">
        <v>4606</v>
      </c>
      <c r="H769" t="s">
        <v>4607</v>
      </c>
      <c r="I769" t="s">
        <v>1654</v>
      </c>
      <c r="J769" t="s">
        <v>397</v>
      </c>
      <c r="K769" s="7">
        <v>32248</v>
      </c>
    </row>
    <row r="770" spans="1:11" x14ac:dyDescent="0.25">
      <c r="A770">
        <v>769</v>
      </c>
      <c r="B770" t="s">
        <v>4608</v>
      </c>
      <c r="C770" t="s">
        <v>75</v>
      </c>
      <c r="D770" t="s">
        <v>1608</v>
      </c>
      <c r="E770" s="7">
        <v>41498</v>
      </c>
      <c r="F770" t="s">
        <v>4609</v>
      </c>
      <c r="G770" t="s">
        <v>4610</v>
      </c>
      <c r="H770" t="s">
        <v>4611</v>
      </c>
      <c r="I770" t="s">
        <v>1738</v>
      </c>
      <c r="J770" t="s">
        <v>397</v>
      </c>
      <c r="K770" s="7">
        <v>29347</v>
      </c>
    </row>
    <row r="771" spans="1:11" x14ac:dyDescent="0.25">
      <c r="A771">
        <v>770</v>
      </c>
      <c r="B771" t="s">
        <v>4612</v>
      </c>
      <c r="C771" t="s">
        <v>83</v>
      </c>
      <c r="D771" t="s">
        <v>1612</v>
      </c>
      <c r="E771" s="7">
        <v>40752</v>
      </c>
      <c r="F771" t="s">
        <v>4613</v>
      </c>
      <c r="G771" t="s">
        <v>4614</v>
      </c>
      <c r="H771" t="s">
        <v>4615</v>
      </c>
      <c r="I771" t="s">
        <v>1738</v>
      </c>
      <c r="J771" t="s">
        <v>1649</v>
      </c>
      <c r="K771" s="7">
        <v>25526</v>
      </c>
    </row>
    <row r="772" spans="1:11" x14ac:dyDescent="0.25">
      <c r="A772">
        <v>771</v>
      </c>
      <c r="B772" t="s">
        <v>4616</v>
      </c>
      <c r="C772" t="s">
        <v>83</v>
      </c>
      <c r="D772" t="s">
        <v>1604</v>
      </c>
      <c r="E772" s="7">
        <v>40725</v>
      </c>
      <c r="F772" t="s">
        <v>4617</v>
      </c>
      <c r="G772" t="s">
        <v>4618</v>
      </c>
      <c r="H772" t="s">
        <v>4619</v>
      </c>
      <c r="I772" t="s">
        <v>1639</v>
      </c>
      <c r="J772" t="s">
        <v>467</v>
      </c>
      <c r="K772" s="7">
        <v>23858</v>
      </c>
    </row>
    <row r="773" spans="1:11" x14ac:dyDescent="0.25">
      <c r="A773">
        <v>772</v>
      </c>
      <c r="B773" t="s">
        <v>4620</v>
      </c>
      <c r="C773" t="s">
        <v>83</v>
      </c>
      <c r="D773" t="s">
        <v>1608</v>
      </c>
      <c r="E773" s="7">
        <v>44900</v>
      </c>
      <c r="F773" t="s">
        <v>4621</v>
      </c>
      <c r="G773" t="s">
        <v>4622</v>
      </c>
      <c r="H773" t="s">
        <v>4623</v>
      </c>
      <c r="I773" t="s">
        <v>1654</v>
      </c>
      <c r="J773" t="s">
        <v>1640</v>
      </c>
      <c r="K773" s="7">
        <v>25731</v>
      </c>
    </row>
    <row r="774" spans="1:11" x14ac:dyDescent="0.25">
      <c r="A774">
        <v>773</v>
      </c>
      <c r="B774" t="s">
        <v>4624</v>
      </c>
      <c r="C774" t="s">
        <v>83</v>
      </c>
      <c r="D774" t="s">
        <v>1596</v>
      </c>
      <c r="E774" s="7">
        <v>45237</v>
      </c>
      <c r="F774" t="s">
        <v>4625</v>
      </c>
      <c r="G774" t="s">
        <v>4626</v>
      </c>
      <c r="H774" t="s">
        <v>4627</v>
      </c>
      <c r="I774" t="s">
        <v>1645</v>
      </c>
      <c r="J774" t="s">
        <v>1649</v>
      </c>
      <c r="K774" s="7">
        <v>33800</v>
      </c>
    </row>
    <row r="775" spans="1:11" x14ac:dyDescent="0.25">
      <c r="A775">
        <v>774</v>
      </c>
      <c r="B775" t="s">
        <v>4628</v>
      </c>
      <c r="C775" t="s">
        <v>75</v>
      </c>
      <c r="D775" t="s">
        <v>1608</v>
      </c>
      <c r="E775" s="7">
        <v>38993</v>
      </c>
      <c r="F775" t="s">
        <v>4629</v>
      </c>
      <c r="G775" t="s">
        <v>4630</v>
      </c>
      <c r="H775" t="s">
        <v>4631</v>
      </c>
      <c r="I775" t="s">
        <v>1634</v>
      </c>
      <c r="J775" t="s">
        <v>1649</v>
      </c>
      <c r="K775" s="7">
        <v>34816</v>
      </c>
    </row>
    <row r="776" spans="1:11" x14ac:dyDescent="0.25">
      <c r="A776">
        <v>775</v>
      </c>
      <c r="B776" t="s">
        <v>4632</v>
      </c>
      <c r="C776" t="s">
        <v>75</v>
      </c>
      <c r="D776" t="s">
        <v>1612</v>
      </c>
      <c r="E776" s="7">
        <v>38565</v>
      </c>
      <c r="F776" t="s">
        <v>4633</v>
      </c>
      <c r="G776">
        <v>5244357397</v>
      </c>
      <c r="H776" t="s">
        <v>4634</v>
      </c>
      <c r="I776" t="s">
        <v>1738</v>
      </c>
      <c r="J776" t="s">
        <v>1649</v>
      </c>
      <c r="K776" s="7">
        <v>34937</v>
      </c>
    </row>
    <row r="777" spans="1:11" x14ac:dyDescent="0.25">
      <c r="A777">
        <v>776</v>
      </c>
      <c r="B777" t="s">
        <v>4635</v>
      </c>
      <c r="C777" t="s">
        <v>83</v>
      </c>
      <c r="D777" t="s">
        <v>1598</v>
      </c>
      <c r="E777" s="7">
        <v>41047</v>
      </c>
      <c r="F777" t="s">
        <v>4636</v>
      </c>
      <c r="G777" t="s">
        <v>4637</v>
      </c>
      <c r="H777" t="s">
        <v>4638</v>
      </c>
      <c r="I777" t="s">
        <v>1645</v>
      </c>
      <c r="J777" t="s">
        <v>1649</v>
      </c>
      <c r="K777" s="7">
        <v>27220</v>
      </c>
    </row>
    <row r="778" spans="1:11" x14ac:dyDescent="0.25">
      <c r="A778">
        <v>777</v>
      </c>
      <c r="B778" t="s">
        <v>4639</v>
      </c>
      <c r="C778" t="s">
        <v>75</v>
      </c>
      <c r="D778" t="s">
        <v>1612</v>
      </c>
      <c r="E778" s="7">
        <v>38618</v>
      </c>
      <c r="F778" t="s">
        <v>4640</v>
      </c>
      <c r="G778" t="s">
        <v>4641</v>
      </c>
      <c r="H778" t="s">
        <v>4642</v>
      </c>
      <c r="I778" t="s">
        <v>1645</v>
      </c>
      <c r="J778" t="s">
        <v>467</v>
      </c>
      <c r="K778" s="7">
        <v>25416</v>
      </c>
    </row>
    <row r="779" spans="1:11" x14ac:dyDescent="0.25">
      <c r="A779">
        <v>778</v>
      </c>
      <c r="B779" t="s">
        <v>4643</v>
      </c>
      <c r="C779" t="s">
        <v>83</v>
      </c>
      <c r="D779" t="s">
        <v>1598</v>
      </c>
      <c r="E779" s="7">
        <v>40987</v>
      </c>
      <c r="F779" t="s">
        <v>4644</v>
      </c>
      <c r="G779" t="s">
        <v>4645</v>
      </c>
      <c r="H779" t="s">
        <v>4646</v>
      </c>
      <c r="I779" t="s">
        <v>1738</v>
      </c>
      <c r="J779" t="s">
        <v>397</v>
      </c>
      <c r="K779" s="7">
        <v>35486</v>
      </c>
    </row>
    <row r="780" spans="1:11" x14ac:dyDescent="0.25">
      <c r="A780">
        <v>779</v>
      </c>
      <c r="B780" t="s">
        <v>4647</v>
      </c>
      <c r="C780" t="s">
        <v>83</v>
      </c>
      <c r="D780" t="s">
        <v>1600</v>
      </c>
      <c r="E780" s="7">
        <v>43695</v>
      </c>
      <c r="F780" t="s">
        <v>4648</v>
      </c>
      <c r="G780" t="s">
        <v>4649</v>
      </c>
      <c r="H780" t="s">
        <v>4650</v>
      </c>
      <c r="I780" t="s">
        <v>1645</v>
      </c>
      <c r="J780" t="s">
        <v>1649</v>
      </c>
      <c r="K780" s="7">
        <v>34005</v>
      </c>
    </row>
    <row r="781" spans="1:11" x14ac:dyDescent="0.25">
      <c r="A781">
        <v>780</v>
      </c>
      <c r="B781" t="s">
        <v>4651</v>
      </c>
      <c r="C781" t="s">
        <v>75</v>
      </c>
      <c r="D781" t="s">
        <v>1596</v>
      </c>
      <c r="E781" s="7">
        <v>43253</v>
      </c>
      <c r="F781" t="s">
        <v>4652</v>
      </c>
      <c r="G781" t="s">
        <v>4653</v>
      </c>
      <c r="H781" t="s">
        <v>4654</v>
      </c>
      <c r="I781" t="s">
        <v>1645</v>
      </c>
      <c r="J781" t="s">
        <v>397</v>
      </c>
      <c r="K781" s="7">
        <v>26974</v>
      </c>
    </row>
    <row r="782" spans="1:11" x14ac:dyDescent="0.25">
      <c r="A782">
        <v>781</v>
      </c>
      <c r="B782" t="s">
        <v>4655</v>
      </c>
      <c r="C782" t="s">
        <v>75</v>
      </c>
      <c r="D782" t="s">
        <v>1604</v>
      </c>
      <c r="E782" s="7">
        <v>41502</v>
      </c>
      <c r="F782" t="s">
        <v>4656</v>
      </c>
      <c r="G782" t="s">
        <v>4657</v>
      </c>
      <c r="H782" t="s">
        <v>4658</v>
      </c>
      <c r="I782" t="s">
        <v>1654</v>
      </c>
      <c r="J782" t="s">
        <v>1649</v>
      </c>
      <c r="K782" s="7">
        <v>37461</v>
      </c>
    </row>
    <row r="783" spans="1:11" x14ac:dyDescent="0.25">
      <c r="A783">
        <v>782</v>
      </c>
      <c r="B783" t="s">
        <v>4659</v>
      </c>
      <c r="C783" t="s">
        <v>75</v>
      </c>
      <c r="D783" t="s">
        <v>1600</v>
      </c>
      <c r="E783" s="7">
        <v>40764</v>
      </c>
      <c r="F783" t="s">
        <v>4660</v>
      </c>
      <c r="G783">
        <v>7233592780</v>
      </c>
      <c r="H783" t="s">
        <v>4661</v>
      </c>
      <c r="I783" t="s">
        <v>1645</v>
      </c>
      <c r="J783" t="s">
        <v>1663</v>
      </c>
      <c r="K783" s="7">
        <v>31660</v>
      </c>
    </row>
    <row r="784" spans="1:11" x14ac:dyDescent="0.25">
      <c r="A784">
        <v>783</v>
      </c>
      <c r="B784" t="s">
        <v>4662</v>
      </c>
      <c r="C784" t="s">
        <v>75</v>
      </c>
      <c r="D784" t="s">
        <v>1604</v>
      </c>
      <c r="E784" s="7">
        <v>43700</v>
      </c>
      <c r="F784" t="s">
        <v>4663</v>
      </c>
      <c r="G784">
        <f>1-823-179-1624</f>
        <v>-2625</v>
      </c>
      <c r="H784" t="s">
        <v>4664</v>
      </c>
      <c r="I784" t="s">
        <v>1645</v>
      </c>
      <c r="J784" t="s">
        <v>397</v>
      </c>
      <c r="K784" s="7">
        <v>23703</v>
      </c>
    </row>
    <row r="785" spans="1:11" x14ac:dyDescent="0.25">
      <c r="A785">
        <v>784</v>
      </c>
      <c r="B785" t="s">
        <v>4665</v>
      </c>
      <c r="C785" t="s">
        <v>83</v>
      </c>
      <c r="D785" t="s">
        <v>1606</v>
      </c>
      <c r="E785" s="7">
        <v>43874</v>
      </c>
      <c r="F785" t="s">
        <v>4666</v>
      </c>
      <c r="G785" t="s">
        <v>4667</v>
      </c>
      <c r="H785" t="s">
        <v>4668</v>
      </c>
      <c r="I785" t="s">
        <v>1738</v>
      </c>
      <c r="J785" t="s">
        <v>1649</v>
      </c>
      <c r="K785" s="7">
        <v>24991</v>
      </c>
    </row>
    <row r="786" spans="1:11" x14ac:dyDescent="0.25">
      <c r="A786">
        <v>785</v>
      </c>
      <c r="B786" t="s">
        <v>4669</v>
      </c>
      <c r="C786" t="s">
        <v>83</v>
      </c>
      <c r="D786" t="s">
        <v>1604</v>
      </c>
      <c r="E786" s="7">
        <v>40249</v>
      </c>
      <c r="F786" t="s">
        <v>4670</v>
      </c>
      <c r="G786" t="s">
        <v>4671</v>
      </c>
      <c r="H786" t="s">
        <v>4672</v>
      </c>
      <c r="I786" t="s">
        <v>1654</v>
      </c>
      <c r="J786" t="s">
        <v>1649</v>
      </c>
      <c r="K786" s="7">
        <v>25106</v>
      </c>
    </row>
    <row r="787" spans="1:11" x14ac:dyDescent="0.25">
      <c r="A787">
        <v>786</v>
      </c>
      <c r="B787" t="s">
        <v>4673</v>
      </c>
      <c r="C787" t="s">
        <v>83</v>
      </c>
      <c r="D787" t="s">
        <v>1612</v>
      </c>
      <c r="E787" s="7">
        <v>40125</v>
      </c>
      <c r="F787" t="s">
        <v>4674</v>
      </c>
      <c r="G787">
        <v>6331380488</v>
      </c>
      <c r="H787" t="s">
        <v>4675</v>
      </c>
      <c r="I787" t="s">
        <v>1654</v>
      </c>
      <c r="J787" t="s">
        <v>1640</v>
      </c>
      <c r="K787" s="7">
        <v>28870</v>
      </c>
    </row>
    <row r="788" spans="1:11" x14ac:dyDescent="0.25">
      <c r="A788">
        <v>787</v>
      </c>
      <c r="B788" t="s">
        <v>4676</v>
      </c>
      <c r="C788" t="s">
        <v>83</v>
      </c>
      <c r="D788" t="s">
        <v>1598</v>
      </c>
      <c r="E788" s="7">
        <v>42762</v>
      </c>
      <c r="F788" t="s">
        <v>4677</v>
      </c>
      <c r="G788" t="s">
        <v>4678</v>
      </c>
      <c r="H788" t="s">
        <v>4679</v>
      </c>
      <c r="I788" t="s">
        <v>1639</v>
      </c>
      <c r="J788" t="s">
        <v>1640</v>
      </c>
      <c r="K788" s="7">
        <v>37574</v>
      </c>
    </row>
    <row r="789" spans="1:11" x14ac:dyDescent="0.25">
      <c r="A789">
        <v>788</v>
      </c>
      <c r="B789" t="s">
        <v>4680</v>
      </c>
      <c r="C789" t="s">
        <v>75</v>
      </c>
      <c r="D789" t="s">
        <v>1610</v>
      </c>
      <c r="E789" s="7">
        <v>40251</v>
      </c>
      <c r="F789" t="s">
        <v>4681</v>
      </c>
      <c r="G789" t="s">
        <v>4682</v>
      </c>
      <c r="H789" t="s">
        <v>4683</v>
      </c>
      <c r="I789" t="s">
        <v>1634</v>
      </c>
      <c r="J789" t="s">
        <v>1640</v>
      </c>
      <c r="K789" s="7">
        <v>34453</v>
      </c>
    </row>
    <row r="790" spans="1:11" x14ac:dyDescent="0.25">
      <c r="A790">
        <v>789</v>
      </c>
      <c r="B790" t="s">
        <v>4684</v>
      </c>
      <c r="C790" t="s">
        <v>75</v>
      </c>
      <c r="D790" t="s">
        <v>1596</v>
      </c>
      <c r="E790" s="7">
        <v>39369</v>
      </c>
      <c r="F790" t="s">
        <v>4685</v>
      </c>
      <c r="G790" t="s">
        <v>4686</v>
      </c>
      <c r="H790" t="s">
        <v>4687</v>
      </c>
      <c r="I790" t="s">
        <v>1639</v>
      </c>
      <c r="J790" t="s">
        <v>397</v>
      </c>
      <c r="K790" s="7">
        <v>34394</v>
      </c>
    </row>
    <row r="791" spans="1:11" x14ac:dyDescent="0.25">
      <c r="A791">
        <v>790</v>
      </c>
      <c r="B791" t="s">
        <v>4688</v>
      </c>
      <c r="C791" t="s">
        <v>75</v>
      </c>
      <c r="D791" t="s">
        <v>1600</v>
      </c>
      <c r="E791" s="7">
        <v>41959</v>
      </c>
      <c r="F791" t="s">
        <v>4689</v>
      </c>
      <c r="G791" t="s">
        <v>4690</v>
      </c>
      <c r="H791" t="s">
        <v>4691</v>
      </c>
      <c r="I791" t="s">
        <v>1738</v>
      </c>
      <c r="J791" t="s">
        <v>1663</v>
      </c>
      <c r="K791" s="7">
        <v>30100</v>
      </c>
    </row>
    <row r="792" spans="1:11" x14ac:dyDescent="0.25">
      <c r="A792">
        <v>791</v>
      </c>
      <c r="B792" t="s">
        <v>4692</v>
      </c>
      <c r="C792" t="s">
        <v>83</v>
      </c>
      <c r="D792" t="s">
        <v>1596</v>
      </c>
      <c r="E792" s="7">
        <v>39839</v>
      </c>
      <c r="F792" t="s">
        <v>4693</v>
      </c>
      <c r="G792" t="s">
        <v>4694</v>
      </c>
      <c r="H792" t="s">
        <v>4695</v>
      </c>
      <c r="I792" t="s">
        <v>1634</v>
      </c>
      <c r="J792" t="s">
        <v>1663</v>
      </c>
      <c r="K792" s="7">
        <v>23653</v>
      </c>
    </row>
    <row r="793" spans="1:11" x14ac:dyDescent="0.25">
      <c r="A793">
        <v>792</v>
      </c>
      <c r="B793" t="s">
        <v>4696</v>
      </c>
      <c r="C793" t="s">
        <v>75</v>
      </c>
      <c r="D793" t="s">
        <v>1612</v>
      </c>
      <c r="E793" s="7">
        <v>44895</v>
      </c>
      <c r="F793" t="s">
        <v>4697</v>
      </c>
      <c r="G793" t="s">
        <v>4698</v>
      </c>
      <c r="H793" t="s">
        <v>4699</v>
      </c>
      <c r="I793" t="s">
        <v>1639</v>
      </c>
      <c r="J793" t="s">
        <v>397</v>
      </c>
      <c r="K793" s="7">
        <v>31852</v>
      </c>
    </row>
    <row r="794" spans="1:11" x14ac:dyDescent="0.25">
      <c r="A794">
        <v>793</v>
      </c>
      <c r="B794" t="s">
        <v>4700</v>
      </c>
      <c r="C794" t="s">
        <v>83</v>
      </c>
      <c r="D794" t="s">
        <v>1614</v>
      </c>
      <c r="E794" s="7">
        <v>39760</v>
      </c>
      <c r="F794" t="s">
        <v>4701</v>
      </c>
      <c r="G794">
        <v>3220031231</v>
      </c>
      <c r="H794" t="s">
        <v>4702</v>
      </c>
      <c r="I794" t="s">
        <v>1634</v>
      </c>
      <c r="J794" t="s">
        <v>397</v>
      </c>
      <c r="K794" s="7">
        <v>28817</v>
      </c>
    </row>
    <row r="795" spans="1:11" x14ac:dyDescent="0.25">
      <c r="A795">
        <v>794</v>
      </c>
      <c r="B795" t="s">
        <v>4703</v>
      </c>
      <c r="C795" t="s">
        <v>75</v>
      </c>
      <c r="D795" t="s">
        <v>1598</v>
      </c>
      <c r="E795" s="7">
        <v>40784</v>
      </c>
      <c r="F795" t="s">
        <v>4704</v>
      </c>
      <c r="G795" t="s">
        <v>4705</v>
      </c>
      <c r="H795" t="s">
        <v>4706</v>
      </c>
      <c r="I795" t="s">
        <v>1634</v>
      </c>
      <c r="J795" t="s">
        <v>1663</v>
      </c>
      <c r="K795" s="7">
        <v>30041</v>
      </c>
    </row>
    <row r="796" spans="1:11" x14ac:dyDescent="0.25">
      <c r="A796">
        <v>795</v>
      </c>
      <c r="B796" t="s">
        <v>4707</v>
      </c>
      <c r="C796" t="s">
        <v>83</v>
      </c>
      <c r="D796" t="s">
        <v>1604</v>
      </c>
      <c r="E796" s="7">
        <v>42387</v>
      </c>
      <c r="F796" t="s">
        <v>4708</v>
      </c>
      <c r="G796" t="s">
        <v>4709</v>
      </c>
      <c r="H796" t="s">
        <v>4710</v>
      </c>
      <c r="I796" t="s">
        <v>1738</v>
      </c>
      <c r="J796" t="s">
        <v>397</v>
      </c>
      <c r="K796" s="7">
        <v>25595</v>
      </c>
    </row>
    <row r="797" spans="1:11" x14ac:dyDescent="0.25">
      <c r="A797">
        <v>796</v>
      </c>
      <c r="B797" t="s">
        <v>4711</v>
      </c>
      <c r="C797" t="s">
        <v>83</v>
      </c>
      <c r="D797" t="s">
        <v>1606</v>
      </c>
      <c r="E797" s="7">
        <v>38436</v>
      </c>
      <c r="F797" t="s">
        <v>4712</v>
      </c>
      <c r="G797">
        <v>4278915085</v>
      </c>
      <c r="H797" t="s">
        <v>4713</v>
      </c>
      <c r="I797" t="s">
        <v>1634</v>
      </c>
      <c r="J797" t="s">
        <v>397</v>
      </c>
      <c r="K797" s="7">
        <v>26881</v>
      </c>
    </row>
    <row r="798" spans="1:11" x14ac:dyDescent="0.25">
      <c r="A798">
        <v>797</v>
      </c>
      <c r="B798" t="s">
        <v>4714</v>
      </c>
      <c r="C798" t="s">
        <v>83</v>
      </c>
      <c r="D798" t="s">
        <v>1610</v>
      </c>
      <c r="E798" s="7">
        <v>41785</v>
      </c>
      <c r="F798" t="s">
        <v>4715</v>
      </c>
      <c r="G798" t="s">
        <v>4716</v>
      </c>
      <c r="H798" t="s">
        <v>4717</v>
      </c>
      <c r="I798" t="s">
        <v>1645</v>
      </c>
      <c r="J798" t="s">
        <v>1649</v>
      </c>
      <c r="K798" s="7">
        <v>30748</v>
      </c>
    </row>
    <row r="799" spans="1:11" x14ac:dyDescent="0.25">
      <c r="A799">
        <v>798</v>
      </c>
      <c r="B799" t="s">
        <v>4718</v>
      </c>
      <c r="C799" t="s">
        <v>75</v>
      </c>
      <c r="D799" t="s">
        <v>1614</v>
      </c>
      <c r="E799" s="7">
        <v>39342</v>
      </c>
      <c r="F799" t="s">
        <v>4719</v>
      </c>
      <c r="G799" t="s">
        <v>4720</v>
      </c>
      <c r="H799" t="s">
        <v>4721</v>
      </c>
      <c r="I799" t="s">
        <v>1738</v>
      </c>
      <c r="J799" t="s">
        <v>1640</v>
      </c>
      <c r="K799" s="7">
        <v>32158</v>
      </c>
    </row>
    <row r="800" spans="1:11" x14ac:dyDescent="0.25">
      <c r="A800">
        <v>799</v>
      </c>
      <c r="B800" t="s">
        <v>4722</v>
      </c>
      <c r="C800" t="s">
        <v>75</v>
      </c>
      <c r="D800" t="s">
        <v>1598</v>
      </c>
      <c r="E800" s="7">
        <v>44087</v>
      </c>
      <c r="F800" t="s">
        <v>4723</v>
      </c>
      <c r="G800" t="s">
        <v>4724</v>
      </c>
      <c r="H800" t="s">
        <v>4725</v>
      </c>
      <c r="I800" t="s">
        <v>1645</v>
      </c>
      <c r="J800" t="s">
        <v>1640</v>
      </c>
      <c r="K800" s="7">
        <v>36618</v>
      </c>
    </row>
    <row r="801" spans="1:11" x14ac:dyDescent="0.25">
      <c r="A801">
        <v>800</v>
      </c>
      <c r="B801" t="s">
        <v>4726</v>
      </c>
      <c r="C801" t="s">
        <v>83</v>
      </c>
      <c r="D801" t="s">
        <v>1602</v>
      </c>
      <c r="E801" s="7">
        <v>42752</v>
      </c>
      <c r="F801" t="s">
        <v>4727</v>
      </c>
      <c r="G801">
        <f>1-392-713-2978</f>
        <v>-4082</v>
      </c>
      <c r="H801" t="s">
        <v>4728</v>
      </c>
      <c r="I801" t="s">
        <v>1645</v>
      </c>
      <c r="J801" t="s">
        <v>397</v>
      </c>
      <c r="K801" s="7">
        <v>37255</v>
      </c>
    </row>
    <row r="802" spans="1:11" x14ac:dyDescent="0.25">
      <c r="A802">
        <v>801</v>
      </c>
      <c r="B802" t="s">
        <v>4729</v>
      </c>
      <c r="C802" t="s">
        <v>75</v>
      </c>
      <c r="D802" t="s">
        <v>1602</v>
      </c>
      <c r="E802" s="7">
        <v>39098</v>
      </c>
      <c r="F802" t="s">
        <v>4730</v>
      </c>
      <c r="G802" t="s">
        <v>4731</v>
      </c>
      <c r="H802" t="s">
        <v>4732</v>
      </c>
      <c r="I802" t="s">
        <v>1645</v>
      </c>
      <c r="J802" t="s">
        <v>1663</v>
      </c>
      <c r="K802" s="7">
        <v>24154</v>
      </c>
    </row>
    <row r="803" spans="1:11" x14ac:dyDescent="0.25">
      <c r="A803">
        <v>802</v>
      </c>
      <c r="B803" t="s">
        <v>4733</v>
      </c>
      <c r="C803" t="s">
        <v>75</v>
      </c>
      <c r="D803" t="s">
        <v>1602</v>
      </c>
      <c r="E803" s="7">
        <v>40253</v>
      </c>
      <c r="F803" t="s">
        <v>4734</v>
      </c>
      <c r="G803" t="s">
        <v>4735</v>
      </c>
      <c r="H803" t="s">
        <v>4736</v>
      </c>
      <c r="I803" t="s">
        <v>1645</v>
      </c>
      <c r="J803" t="s">
        <v>467</v>
      </c>
      <c r="K803" s="7">
        <v>28570</v>
      </c>
    </row>
    <row r="804" spans="1:11" x14ac:dyDescent="0.25">
      <c r="A804">
        <v>803</v>
      </c>
      <c r="B804" t="s">
        <v>4737</v>
      </c>
      <c r="C804" t="s">
        <v>75</v>
      </c>
      <c r="D804" t="s">
        <v>1602</v>
      </c>
      <c r="E804" s="7">
        <v>42485</v>
      </c>
      <c r="F804" t="s">
        <v>4738</v>
      </c>
      <c r="G804" t="s">
        <v>4739</v>
      </c>
      <c r="H804" t="s">
        <v>4740</v>
      </c>
      <c r="I804" t="s">
        <v>1639</v>
      </c>
      <c r="J804" t="s">
        <v>397</v>
      </c>
      <c r="K804" s="7">
        <v>35357</v>
      </c>
    </row>
    <row r="805" spans="1:11" x14ac:dyDescent="0.25">
      <c r="A805">
        <v>804</v>
      </c>
      <c r="B805" t="s">
        <v>4741</v>
      </c>
      <c r="C805" t="s">
        <v>83</v>
      </c>
      <c r="D805" t="s">
        <v>1610</v>
      </c>
      <c r="E805" s="7">
        <v>39639</v>
      </c>
      <c r="F805" t="s">
        <v>4742</v>
      </c>
      <c r="G805" t="s">
        <v>4743</v>
      </c>
      <c r="H805" t="s">
        <v>4744</v>
      </c>
      <c r="I805" t="s">
        <v>1654</v>
      </c>
      <c r="J805" t="s">
        <v>397</v>
      </c>
      <c r="K805" s="7">
        <v>25182</v>
      </c>
    </row>
    <row r="806" spans="1:11" x14ac:dyDescent="0.25">
      <c r="A806">
        <v>805</v>
      </c>
      <c r="B806" t="s">
        <v>4745</v>
      </c>
      <c r="C806" t="s">
        <v>75</v>
      </c>
      <c r="D806" t="s">
        <v>1612</v>
      </c>
      <c r="E806" s="7">
        <v>40176</v>
      </c>
      <c r="F806" t="s">
        <v>4746</v>
      </c>
      <c r="G806" t="s">
        <v>4747</v>
      </c>
      <c r="H806" t="s">
        <v>4748</v>
      </c>
      <c r="I806" t="s">
        <v>1639</v>
      </c>
      <c r="J806" t="s">
        <v>1663</v>
      </c>
      <c r="K806" s="7">
        <v>30873</v>
      </c>
    </row>
    <row r="807" spans="1:11" x14ac:dyDescent="0.25">
      <c r="A807">
        <v>806</v>
      </c>
      <c r="B807" t="s">
        <v>4749</v>
      </c>
      <c r="C807" t="s">
        <v>75</v>
      </c>
      <c r="D807" t="s">
        <v>1600</v>
      </c>
      <c r="E807" s="7">
        <v>42216</v>
      </c>
      <c r="F807" t="s">
        <v>4750</v>
      </c>
      <c r="G807" t="s">
        <v>4751</v>
      </c>
      <c r="H807" t="s">
        <v>4752</v>
      </c>
      <c r="I807" t="s">
        <v>1645</v>
      </c>
      <c r="J807" t="s">
        <v>1649</v>
      </c>
      <c r="K807" s="7">
        <v>28227</v>
      </c>
    </row>
    <row r="808" spans="1:11" x14ac:dyDescent="0.25">
      <c r="A808">
        <v>807</v>
      </c>
      <c r="B808" t="s">
        <v>4753</v>
      </c>
      <c r="C808" t="s">
        <v>75</v>
      </c>
      <c r="D808" t="s">
        <v>1598</v>
      </c>
      <c r="E808" s="7">
        <v>42326</v>
      </c>
      <c r="F808" t="s">
        <v>4754</v>
      </c>
      <c r="G808">
        <v>1272625046</v>
      </c>
      <c r="H808" t="s">
        <v>4755</v>
      </c>
      <c r="I808" t="s">
        <v>1645</v>
      </c>
      <c r="J808" t="s">
        <v>467</v>
      </c>
      <c r="K808" s="7">
        <v>29757</v>
      </c>
    </row>
    <row r="809" spans="1:11" x14ac:dyDescent="0.25">
      <c r="A809">
        <v>808</v>
      </c>
      <c r="B809" t="s">
        <v>4756</v>
      </c>
      <c r="C809" t="s">
        <v>75</v>
      </c>
      <c r="D809" t="s">
        <v>1602</v>
      </c>
      <c r="E809" s="7">
        <v>45376</v>
      </c>
      <c r="F809" t="s">
        <v>4757</v>
      </c>
      <c r="G809" t="s">
        <v>4758</v>
      </c>
      <c r="H809" t="s">
        <v>4759</v>
      </c>
      <c r="I809" t="s">
        <v>1639</v>
      </c>
      <c r="J809" t="s">
        <v>1640</v>
      </c>
      <c r="K809" s="7">
        <v>34782</v>
      </c>
    </row>
    <row r="810" spans="1:11" x14ac:dyDescent="0.25">
      <c r="A810">
        <v>809</v>
      </c>
      <c r="B810" t="s">
        <v>4760</v>
      </c>
      <c r="C810" t="s">
        <v>83</v>
      </c>
      <c r="D810" t="s">
        <v>1600</v>
      </c>
      <c r="E810" s="7">
        <v>41450</v>
      </c>
      <c r="F810" t="s">
        <v>4761</v>
      </c>
      <c r="G810">
        <v>9091388993</v>
      </c>
      <c r="H810" t="s">
        <v>4762</v>
      </c>
      <c r="I810" t="s">
        <v>1639</v>
      </c>
      <c r="J810" t="s">
        <v>467</v>
      </c>
      <c r="K810" s="7">
        <v>32289</v>
      </c>
    </row>
    <row r="811" spans="1:11" x14ac:dyDescent="0.25">
      <c r="A811">
        <v>810</v>
      </c>
      <c r="B811" t="s">
        <v>4763</v>
      </c>
      <c r="C811" t="s">
        <v>83</v>
      </c>
      <c r="D811" t="s">
        <v>1596</v>
      </c>
      <c r="E811" s="7">
        <v>39097</v>
      </c>
      <c r="F811" t="s">
        <v>4764</v>
      </c>
      <c r="G811">
        <f>1-15-850-4152</f>
        <v>-5016</v>
      </c>
      <c r="H811" t="s">
        <v>4765</v>
      </c>
      <c r="I811" t="s">
        <v>1645</v>
      </c>
      <c r="J811" t="s">
        <v>397</v>
      </c>
      <c r="K811" s="7">
        <v>28526</v>
      </c>
    </row>
    <row r="812" spans="1:11" x14ac:dyDescent="0.25">
      <c r="A812">
        <v>811</v>
      </c>
      <c r="B812" t="s">
        <v>4766</v>
      </c>
      <c r="C812" t="s">
        <v>83</v>
      </c>
      <c r="D812" t="s">
        <v>1608</v>
      </c>
      <c r="E812" s="7">
        <v>43083</v>
      </c>
      <c r="F812" t="s">
        <v>4767</v>
      </c>
      <c r="G812" t="s">
        <v>4768</v>
      </c>
      <c r="H812" t="s">
        <v>4769</v>
      </c>
      <c r="I812" t="s">
        <v>1654</v>
      </c>
      <c r="J812" t="s">
        <v>1640</v>
      </c>
      <c r="K812" s="7">
        <v>36961</v>
      </c>
    </row>
    <row r="813" spans="1:11" x14ac:dyDescent="0.25">
      <c r="A813">
        <v>812</v>
      </c>
      <c r="B813" t="s">
        <v>4770</v>
      </c>
      <c r="C813" t="s">
        <v>75</v>
      </c>
      <c r="D813" t="s">
        <v>1602</v>
      </c>
      <c r="E813" s="7">
        <v>39405</v>
      </c>
      <c r="F813" t="s">
        <v>4771</v>
      </c>
      <c r="G813" t="s">
        <v>4772</v>
      </c>
      <c r="H813" t="s">
        <v>4773</v>
      </c>
      <c r="I813" t="s">
        <v>1639</v>
      </c>
      <c r="J813" t="s">
        <v>1640</v>
      </c>
      <c r="K813" s="7">
        <v>28398</v>
      </c>
    </row>
    <row r="814" spans="1:11" x14ac:dyDescent="0.25">
      <c r="A814">
        <v>813</v>
      </c>
      <c r="B814" t="s">
        <v>4774</v>
      </c>
      <c r="C814" t="s">
        <v>83</v>
      </c>
      <c r="D814" t="s">
        <v>1606</v>
      </c>
      <c r="E814" s="7">
        <v>40256</v>
      </c>
      <c r="F814" t="s">
        <v>4775</v>
      </c>
      <c r="G814" t="s">
        <v>4776</v>
      </c>
      <c r="H814" t="s">
        <v>4777</v>
      </c>
      <c r="I814" t="s">
        <v>1645</v>
      </c>
      <c r="J814" t="s">
        <v>397</v>
      </c>
      <c r="K814" s="7">
        <v>36697</v>
      </c>
    </row>
    <row r="815" spans="1:11" x14ac:dyDescent="0.25">
      <c r="A815">
        <v>814</v>
      </c>
      <c r="B815" t="s">
        <v>4778</v>
      </c>
      <c r="C815" t="s">
        <v>75</v>
      </c>
      <c r="D815" t="s">
        <v>1608</v>
      </c>
      <c r="E815" s="7">
        <v>40410</v>
      </c>
      <c r="F815" t="s">
        <v>4779</v>
      </c>
      <c r="G815" t="s">
        <v>4780</v>
      </c>
      <c r="H815" t="s">
        <v>4781</v>
      </c>
      <c r="I815" t="s">
        <v>1738</v>
      </c>
      <c r="J815" t="s">
        <v>1663</v>
      </c>
      <c r="K815" s="7">
        <v>32183</v>
      </c>
    </row>
    <row r="816" spans="1:11" x14ac:dyDescent="0.25">
      <c r="A816">
        <v>815</v>
      </c>
      <c r="B816" t="s">
        <v>4782</v>
      </c>
      <c r="C816" t="s">
        <v>83</v>
      </c>
      <c r="D816" t="s">
        <v>1596</v>
      </c>
      <c r="E816" s="7">
        <v>40577</v>
      </c>
      <c r="F816" t="s">
        <v>4783</v>
      </c>
      <c r="G816" t="s">
        <v>4784</v>
      </c>
      <c r="H816" t="s">
        <v>4785</v>
      </c>
      <c r="I816" t="s">
        <v>1634</v>
      </c>
      <c r="J816" t="s">
        <v>467</v>
      </c>
      <c r="K816" s="7">
        <v>26272</v>
      </c>
    </row>
    <row r="817" spans="1:11" x14ac:dyDescent="0.25">
      <c r="A817">
        <v>816</v>
      </c>
      <c r="B817" t="s">
        <v>4786</v>
      </c>
      <c r="C817" t="s">
        <v>83</v>
      </c>
      <c r="D817" t="s">
        <v>1614</v>
      </c>
      <c r="E817" s="7">
        <v>38687</v>
      </c>
      <c r="F817" t="s">
        <v>4787</v>
      </c>
      <c r="G817" t="s">
        <v>4788</v>
      </c>
      <c r="H817" t="s">
        <v>4789</v>
      </c>
      <c r="I817" t="s">
        <v>1634</v>
      </c>
      <c r="J817" t="s">
        <v>1649</v>
      </c>
      <c r="K817" s="7">
        <v>32923</v>
      </c>
    </row>
    <row r="818" spans="1:11" x14ac:dyDescent="0.25">
      <c r="A818">
        <v>817</v>
      </c>
      <c r="B818" t="s">
        <v>4790</v>
      </c>
      <c r="C818" t="s">
        <v>83</v>
      </c>
      <c r="D818" t="s">
        <v>1614</v>
      </c>
      <c r="E818" s="7">
        <v>42927</v>
      </c>
      <c r="F818" t="s">
        <v>4791</v>
      </c>
      <c r="G818" t="s">
        <v>4792</v>
      </c>
      <c r="H818" t="s">
        <v>4793</v>
      </c>
      <c r="I818" t="s">
        <v>1654</v>
      </c>
      <c r="J818" t="s">
        <v>467</v>
      </c>
      <c r="K818" s="7">
        <v>26561</v>
      </c>
    </row>
    <row r="819" spans="1:11" x14ac:dyDescent="0.25">
      <c r="A819">
        <v>818</v>
      </c>
      <c r="B819" t="s">
        <v>4794</v>
      </c>
      <c r="C819" t="s">
        <v>75</v>
      </c>
      <c r="D819" t="s">
        <v>1610</v>
      </c>
      <c r="E819" s="7">
        <v>39332</v>
      </c>
      <c r="F819" t="s">
        <v>4795</v>
      </c>
      <c r="G819" t="s">
        <v>4796</v>
      </c>
      <c r="H819" t="s">
        <v>4797</v>
      </c>
      <c r="I819" t="s">
        <v>1634</v>
      </c>
      <c r="J819" t="s">
        <v>1640</v>
      </c>
      <c r="K819" s="7">
        <v>24016</v>
      </c>
    </row>
    <row r="820" spans="1:11" x14ac:dyDescent="0.25">
      <c r="A820">
        <v>819</v>
      </c>
      <c r="B820" t="s">
        <v>4798</v>
      </c>
      <c r="C820" t="s">
        <v>83</v>
      </c>
      <c r="D820" t="s">
        <v>1600</v>
      </c>
      <c r="E820" s="7">
        <v>44072</v>
      </c>
      <c r="F820" t="s">
        <v>4799</v>
      </c>
      <c r="G820" t="s">
        <v>4800</v>
      </c>
      <c r="H820" t="s">
        <v>4801</v>
      </c>
      <c r="I820" t="s">
        <v>1639</v>
      </c>
      <c r="J820" t="s">
        <v>467</v>
      </c>
      <c r="K820" s="7">
        <v>25647</v>
      </c>
    </row>
    <row r="821" spans="1:11" x14ac:dyDescent="0.25">
      <c r="A821">
        <v>820</v>
      </c>
      <c r="B821" t="s">
        <v>4802</v>
      </c>
      <c r="C821" t="s">
        <v>75</v>
      </c>
      <c r="D821" t="s">
        <v>1598</v>
      </c>
      <c r="E821" s="7">
        <v>41572</v>
      </c>
      <c r="F821" t="s">
        <v>4803</v>
      </c>
      <c r="G821" t="s">
        <v>4804</v>
      </c>
      <c r="H821" t="s">
        <v>4805</v>
      </c>
      <c r="I821" t="s">
        <v>1645</v>
      </c>
      <c r="J821" t="s">
        <v>397</v>
      </c>
      <c r="K821" s="7">
        <v>33428</v>
      </c>
    </row>
    <row r="822" spans="1:11" x14ac:dyDescent="0.25">
      <c r="A822">
        <v>821</v>
      </c>
      <c r="B822" t="s">
        <v>4806</v>
      </c>
      <c r="C822" t="s">
        <v>83</v>
      </c>
      <c r="D822" t="s">
        <v>1612</v>
      </c>
      <c r="E822" s="7">
        <v>44551</v>
      </c>
      <c r="F822" t="s">
        <v>4807</v>
      </c>
      <c r="G822" t="s">
        <v>4808</v>
      </c>
      <c r="H822" t="s">
        <v>4809</v>
      </c>
      <c r="I822" t="s">
        <v>1634</v>
      </c>
      <c r="J822" t="s">
        <v>1649</v>
      </c>
      <c r="K822" s="7">
        <v>34103</v>
      </c>
    </row>
    <row r="823" spans="1:11" x14ac:dyDescent="0.25">
      <c r="A823">
        <v>822</v>
      </c>
      <c r="B823" t="s">
        <v>4810</v>
      </c>
      <c r="C823" t="s">
        <v>75</v>
      </c>
      <c r="D823" t="s">
        <v>1608</v>
      </c>
      <c r="E823" s="7">
        <v>43863</v>
      </c>
      <c r="F823" t="s">
        <v>4811</v>
      </c>
      <c r="G823" t="s">
        <v>4812</v>
      </c>
      <c r="H823" t="s">
        <v>4813</v>
      </c>
      <c r="I823" t="s">
        <v>1738</v>
      </c>
      <c r="J823" t="s">
        <v>1649</v>
      </c>
      <c r="K823" s="7">
        <v>35224</v>
      </c>
    </row>
    <row r="824" spans="1:11" x14ac:dyDescent="0.25">
      <c r="A824">
        <v>823</v>
      </c>
      <c r="B824" t="s">
        <v>4814</v>
      </c>
      <c r="C824" t="s">
        <v>83</v>
      </c>
      <c r="D824" t="s">
        <v>1604</v>
      </c>
      <c r="E824" s="7">
        <v>39203</v>
      </c>
      <c r="F824" t="s">
        <v>4815</v>
      </c>
      <c r="G824" t="s">
        <v>4816</v>
      </c>
      <c r="H824" t="s">
        <v>4817</v>
      </c>
      <c r="I824" t="s">
        <v>1654</v>
      </c>
      <c r="J824" t="s">
        <v>1663</v>
      </c>
      <c r="K824" s="7">
        <v>24909</v>
      </c>
    </row>
    <row r="825" spans="1:11" x14ac:dyDescent="0.25">
      <c r="A825">
        <v>824</v>
      </c>
      <c r="B825" t="s">
        <v>4818</v>
      </c>
      <c r="C825" t="s">
        <v>75</v>
      </c>
      <c r="D825" t="s">
        <v>1598</v>
      </c>
      <c r="E825" s="7">
        <v>38544</v>
      </c>
      <c r="F825" t="s">
        <v>4819</v>
      </c>
      <c r="G825" t="s">
        <v>4820</v>
      </c>
      <c r="H825" t="s">
        <v>4821</v>
      </c>
      <c r="I825" t="s">
        <v>1634</v>
      </c>
      <c r="J825" t="s">
        <v>397</v>
      </c>
      <c r="K825" s="7">
        <v>32009</v>
      </c>
    </row>
    <row r="826" spans="1:11" x14ac:dyDescent="0.25">
      <c r="A826">
        <v>825</v>
      </c>
      <c r="B826" t="s">
        <v>4822</v>
      </c>
      <c r="C826" t="s">
        <v>83</v>
      </c>
      <c r="D826" t="s">
        <v>1604</v>
      </c>
      <c r="E826" s="7">
        <v>40137</v>
      </c>
      <c r="F826" t="s">
        <v>4823</v>
      </c>
      <c r="G826" t="s">
        <v>4824</v>
      </c>
      <c r="H826" t="s">
        <v>4825</v>
      </c>
      <c r="I826" t="s">
        <v>1738</v>
      </c>
      <c r="J826" t="s">
        <v>1640</v>
      </c>
      <c r="K826" s="7">
        <v>30596</v>
      </c>
    </row>
    <row r="827" spans="1:11" x14ac:dyDescent="0.25">
      <c r="A827">
        <v>826</v>
      </c>
      <c r="B827" t="s">
        <v>4826</v>
      </c>
      <c r="C827" t="s">
        <v>75</v>
      </c>
      <c r="D827" t="s">
        <v>1598</v>
      </c>
      <c r="E827" s="7">
        <v>39002</v>
      </c>
      <c r="F827" t="s">
        <v>4827</v>
      </c>
      <c r="G827" t="s">
        <v>4828</v>
      </c>
      <c r="H827" t="s">
        <v>4829</v>
      </c>
      <c r="I827" t="s">
        <v>1654</v>
      </c>
      <c r="J827" t="s">
        <v>1649</v>
      </c>
      <c r="K827" s="7">
        <v>33964</v>
      </c>
    </row>
    <row r="828" spans="1:11" x14ac:dyDescent="0.25">
      <c r="A828">
        <v>827</v>
      </c>
      <c r="B828" t="s">
        <v>4830</v>
      </c>
      <c r="C828" t="s">
        <v>83</v>
      </c>
      <c r="D828" t="s">
        <v>1604</v>
      </c>
      <c r="E828" s="7">
        <v>40849</v>
      </c>
      <c r="F828" t="s">
        <v>4831</v>
      </c>
      <c r="G828" t="s">
        <v>4832</v>
      </c>
      <c r="H828" t="s">
        <v>4833</v>
      </c>
      <c r="I828" t="s">
        <v>1645</v>
      </c>
      <c r="J828" t="s">
        <v>1640</v>
      </c>
      <c r="K828" s="7">
        <v>30097</v>
      </c>
    </row>
    <row r="829" spans="1:11" x14ac:dyDescent="0.25">
      <c r="A829">
        <v>828</v>
      </c>
      <c r="B829" t="s">
        <v>4834</v>
      </c>
      <c r="C829" t="s">
        <v>75</v>
      </c>
      <c r="D829" t="s">
        <v>1614</v>
      </c>
      <c r="E829" s="7">
        <v>38899</v>
      </c>
      <c r="F829" t="s">
        <v>4835</v>
      </c>
      <c r="G829" t="s">
        <v>4836</v>
      </c>
      <c r="H829" t="s">
        <v>4837</v>
      </c>
      <c r="I829" t="s">
        <v>1738</v>
      </c>
      <c r="J829" t="s">
        <v>397</v>
      </c>
      <c r="K829" s="7">
        <v>27100</v>
      </c>
    </row>
    <row r="830" spans="1:11" x14ac:dyDescent="0.25">
      <c r="A830">
        <v>829</v>
      </c>
      <c r="B830" t="s">
        <v>4838</v>
      </c>
      <c r="C830" t="s">
        <v>83</v>
      </c>
      <c r="D830" t="s">
        <v>1610</v>
      </c>
      <c r="E830" s="7">
        <v>43841</v>
      </c>
      <c r="F830" t="s">
        <v>4839</v>
      </c>
      <c r="G830" t="s">
        <v>4840</v>
      </c>
      <c r="H830" t="s">
        <v>4841</v>
      </c>
      <c r="I830" t="s">
        <v>1738</v>
      </c>
      <c r="J830" t="s">
        <v>397</v>
      </c>
      <c r="K830" s="7">
        <v>30542</v>
      </c>
    </row>
    <row r="831" spans="1:11" x14ac:dyDescent="0.25">
      <c r="A831">
        <v>830</v>
      </c>
      <c r="B831" t="s">
        <v>4842</v>
      </c>
      <c r="C831" t="s">
        <v>75</v>
      </c>
      <c r="D831" t="s">
        <v>1608</v>
      </c>
      <c r="E831" s="7">
        <v>40867</v>
      </c>
      <c r="F831" t="s">
        <v>4843</v>
      </c>
      <c r="G831" t="s">
        <v>4844</v>
      </c>
      <c r="H831" t="s">
        <v>4845</v>
      </c>
      <c r="I831" t="s">
        <v>1738</v>
      </c>
      <c r="J831" t="s">
        <v>1663</v>
      </c>
      <c r="K831" s="7">
        <v>28153</v>
      </c>
    </row>
    <row r="832" spans="1:11" x14ac:dyDescent="0.25">
      <c r="A832">
        <v>831</v>
      </c>
      <c r="B832" t="s">
        <v>4846</v>
      </c>
      <c r="C832" t="s">
        <v>83</v>
      </c>
      <c r="D832" t="s">
        <v>1614</v>
      </c>
      <c r="E832" s="7">
        <v>42153</v>
      </c>
      <c r="F832" t="s">
        <v>4847</v>
      </c>
      <c r="G832" t="s">
        <v>4848</v>
      </c>
      <c r="H832" t="s">
        <v>4849</v>
      </c>
      <c r="I832" t="s">
        <v>1738</v>
      </c>
      <c r="J832" t="s">
        <v>397</v>
      </c>
      <c r="K832" s="7">
        <v>34590</v>
      </c>
    </row>
    <row r="833" spans="1:11" x14ac:dyDescent="0.25">
      <c r="A833">
        <v>832</v>
      </c>
      <c r="B833" t="s">
        <v>4850</v>
      </c>
      <c r="C833" t="s">
        <v>75</v>
      </c>
      <c r="D833" t="s">
        <v>1606</v>
      </c>
      <c r="E833" s="7">
        <v>45660</v>
      </c>
      <c r="F833" t="s">
        <v>4851</v>
      </c>
      <c r="G833">
        <v>2553860468</v>
      </c>
      <c r="H833" t="s">
        <v>4852</v>
      </c>
      <c r="I833" t="s">
        <v>1639</v>
      </c>
      <c r="J833" t="s">
        <v>1649</v>
      </c>
      <c r="K833" s="7">
        <v>35647</v>
      </c>
    </row>
    <row r="834" spans="1:11" x14ac:dyDescent="0.25">
      <c r="A834">
        <v>833</v>
      </c>
      <c r="B834" t="s">
        <v>4853</v>
      </c>
      <c r="C834" t="s">
        <v>75</v>
      </c>
      <c r="D834" t="s">
        <v>1606</v>
      </c>
      <c r="E834" s="7">
        <v>40897</v>
      </c>
      <c r="F834" t="s">
        <v>4854</v>
      </c>
      <c r="G834">
        <f>1-134-425-4331</f>
        <v>-4889</v>
      </c>
      <c r="H834" t="s">
        <v>4855</v>
      </c>
      <c r="I834" t="s">
        <v>1654</v>
      </c>
      <c r="J834" t="s">
        <v>397</v>
      </c>
      <c r="K834" s="7">
        <v>36382</v>
      </c>
    </row>
    <row r="835" spans="1:11" x14ac:dyDescent="0.25">
      <c r="A835">
        <v>834</v>
      </c>
      <c r="B835" t="s">
        <v>4856</v>
      </c>
      <c r="C835" t="s">
        <v>75</v>
      </c>
      <c r="D835" t="s">
        <v>1610</v>
      </c>
      <c r="E835" s="7">
        <v>43829</v>
      </c>
      <c r="F835" t="s">
        <v>4857</v>
      </c>
      <c r="G835" t="s">
        <v>4858</v>
      </c>
      <c r="H835" t="s">
        <v>4859</v>
      </c>
      <c r="I835" t="s">
        <v>1634</v>
      </c>
      <c r="J835" t="s">
        <v>467</v>
      </c>
      <c r="K835" s="7">
        <v>25515</v>
      </c>
    </row>
    <row r="836" spans="1:11" x14ac:dyDescent="0.25">
      <c r="A836">
        <v>835</v>
      </c>
      <c r="B836" t="s">
        <v>4860</v>
      </c>
      <c r="C836" t="s">
        <v>83</v>
      </c>
      <c r="D836" t="s">
        <v>1614</v>
      </c>
      <c r="E836" s="7">
        <v>41816</v>
      </c>
      <c r="F836" t="s">
        <v>4861</v>
      </c>
      <c r="G836" t="s">
        <v>4862</v>
      </c>
      <c r="H836" t="s">
        <v>4863</v>
      </c>
      <c r="I836" t="s">
        <v>1654</v>
      </c>
      <c r="J836" t="s">
        <v>467</v>
      </c>
      <c r="K836" s="7">
        <v>34465</v>
      </c>
    </row>
    <row r="837" spans="1:11" x14ac:dyDescent="0.25">
      <c r="A837">
        <v>836</v>
      </c>
      <c r="B837" t="s">
        <v>4864</v>
      </c>
      <c r="C837" t="s">
        <v>75</v>
      </c>
      <c r="D837" t="s">
        <v>1598</v>
      </c>
      <c r="E837" s="7">
        <v>43276</v>
      </c>
      <c r="F837" t="s">
        <v>4865</v>
      </c>
      <c r="G837" t="s">
        <v>4866</v>
      </c>
      <c r="H837" t="s">
        <v>4867</v>
      </c>
      <c r="I837" t="s">
        <v>1654</v>
      </c>
      <c r="J837" t="s">
        <v>467</v>
      </c>
      <c r="K837" s="7">
        <v>35396</v>
      </c>
    </row>
    <row r="838" spans="1:11" x14ac:dyDescent="0.25">
      <c r="A838">
        <v>837</v>
      </c>
      <c r="B838" t="s">
        <v>4868</v>
      </c>
      <c r="C838" t="s">
        <v>75</v>
      </c>
      <c r="D838" t="s">
        <v>1612</v>
      </c>
      <c r="E838" s="7">
        <v>44792</v>
      </c>
      <c r="F838" t="s">
        <v>4869</v>
      </c>
      <c r="G838" t="s">
        <v>4870</v>
      </c>
      <c r="H838" t="s">
        <v>4871</v>
      </c>
      <c r="I838" t="s">
        <v>1645</v>
      </c>
      <c r="J838" t="s">
        <v>1649</v>
      </c>
      <c r="K838" s="7">
        <v>32577</v>
      </c>
    </row>
    <row r="839" spans="1:11" x14ac:dyDescent="0.25">
      <c r="A839">
        <v>838</v>
      </c>
      <c r="B839" t="s">
        <v>4872</v>
      </c>
      <c r="C839" t="s">
        <v>83</v>
      </c>
      <c r="D839" t="s">
        <v>1608</v>
      </c>
      <c r="E839" s="7">
        <v>43668</v>
      </c>
      <c r="F839" t="s">
        <v>4873</v>
      </c>
      <c r="G839">
        <v>1299011887</v>
      </c>
      <c r="H839" t="s">
        <v>4874</v>
      </c>
      <c r="I839" t="s">
        <v>1639</v>
      </c>
      <c r="J839" t="s">
        <v>1640</v>
      </c>
      <c r="K839" s="7">
        <v>29252</v>
      </c>
    </row>
    <row r="840" spans="1:11" x14ac:dyDescent="0.25">
      <c r="A840">
        <v>839</v>
      </c>
      <c r="B840" t="s">
        <v>4875</v>
      </c>
      <c r="C840" t="s">
        <v>83</v>
      </c>
      <c r="D840" t="s">
        <v>1602</v>
      </c>
      <c r="E840" s="7">
        <v>40244</v>
      </c>
      <c r="F840" t="s">
        <v>4876</v>
      </c>
      <c r="G840" t="s">
        <v>4877</v>
      </c>
      <c r="H840" t="s">
        <v>4878</v>
      </c>
      <c r="I840" t="s">
        <v>1645</v>
      </c>
      <c r="J840" t="s">
        <v>1649</v>
      </c>
      <c r="K840" s="7">
        <v>35651</v>
      </c>
    </row>
    <row r="841" spans="1:11" x14ac:dyDescent="0.25">
      <c r="A841">
        <v>840</v>
      </c>
      <c r="B841" t="s">
        <v>4879</v>
      </c>
      <c r="C841" t="s">
        <v>83</v>
      </c>
      <c r="D841" t="s">
        <v>1614</v>
      </c>
      <c r="E841" s="7">
        <v>40984</v>
      </c>
      <c r="F841" t="s">
        <v>4880</v>
      </c>
      <c r="G841" t="s">
        <v>4881</v>
      </c>
      <c r="H841" t="s">
        <v>4882</v>
      </c>
      <c r="I841" t="s">
        <v>1639</v>
      </c>
      <c r="J841" t="s">
        <v>1640</v>
      </c>
      <c r="K841" s="7">
        <v>25296</v>
      </c>
    </row>
    <row r="842" spans="1:11" x14ac:dyDescent="0.25">
      <c r="A842">
        <v>841</v>
      </c>
      <c r="B842" t="s">
        <v>4883</v>
      </c>
      <c r="C842" t="s">
        <v>83</v>
      </c>
      <c r="D842" t="s">
        <v>1610</v>
      </c>
      <c r="E842" s="7">
        <v>45069</v>
      </c>
      <c r="F842" t="s">
        <v>4884</v>
      </c>
      <c r="G842" t="s">
        <v>4885</v>
      </c>
      <c r="H842" t="s">
        <v>4886</v>
      </c>
      <c r="I842" t="s">
        <v>1634</v>
      </c>
      <c r="J842" t="s">
        <v>1649</v>
      </c>
      <c r="K842" s="7">
        <v>35085</v>
      </c>
    </row>
    <row r="843" spans="1:11" x14ac:dyDescent="0.25">
      <c r="A843">
        <v>842</v>
      </c>
      <c r="B843" t="s">
        <v>4887</v>
      </c>
      <c r="C843" t="s">
        <v>75</v>
      </c>
      <c r="D843" t="s">
        <v>1596</v>
      </c>
      <c r="E843" s="7">
        <v>41921</v>
      </c>
      <c r="F843" t="s">
        <v>4888</v>
      </c>
      <c r="G843" t="s">
        <v>4889</v>
      </c>
      <c r="H843" t="s">
        <v>4890</v>
      </c>
      <c r="I843" t="s">
        <v>1654</v>
      </c>
      <c r="J843" t="s">
        <v>1640</v>
      </c>
      <c r="K843" s="7">
        <v>27453</v>
      </c>
    </row>
    <row r="844" spans="1:11" x14ac:dyDescent="0.25">
      <c r="A844">
        <v>843</v>
      </c>
      <c r="B844" t="s">
        <v>4891</v>
      </c>
      <c r="C844" t="s">
        <v>83</v>
      </c>
      <c r="D844" t="s">
        <v>1596</v>
      </c>
      <c r="E844" s="7">
        <v>43723</v>
      </c>
      <c r="F844" t="s">
        <v>4892</v>
      </c>
      <c r="G844" t="s">
        <v>4893</v>
      </c>
      <c r="H844" t="s">
        <v>4894</v>
      </c>
      <c r="I844" t="s">
        <v>1654</v>
      </c>
      <c r="J844" t="s">
        <v>397</v>
      </c>
      <c r="K844" s="7">
        <v>33364</v>
      </c>
    </row>
    <row r="845" spans="1:11" x14ac:dyDescent="0.25">
      <c r="A845">
        <v>844</v>
      </c>
      <c r="B845" t="s">
        <v>4895</v>
      </c>
      <c r="C845" t="s">
        <v>75</v>
      </c>
      <c r="D845" t="s">
        <v>1602</v>
      </c>
      <c r="E845" s="7">
        <v>44356</v>
      </c>
      <c r="F845" t="s">
        <v>4896</v>
      </c>
      <c r="G845" t="s">
        <v>4897</v>
      </c>
      <c r="H845" t="s">
        <v>4898</v>
      </c>
      <c r="I845" t="s">
        <v>1654</v>
      </c>
      <c r="J845" t="s">
        <v>1649</v>
      </c>
      <c r="K845" s="7">
        <v>34541</v>
      </c>
    </row>
    <row r="846" spans="1:11" x14ac:dyDescent="0.25">
      <c r="A846">
        <v>845</v>
      </c>
      <c r="B846" t="s">
        <v>4899</v>
      </c>
      <c r="C846" t="s">
        <v>83</v>
      </c>
      <c r="D846" t="s">
        <v>1612</v>
      </c>
      <c r="E846" s="7">
        <v>42289</v>
      </c>
      <c r="F846" t="s">
        <v>4900</v>
      </c>
      <c r="G846" t="s">
        <v>4901</v>
      </c>
      <c r="H846" t="s">
        <v>4902</v>
      </c>
      <c r="I846" t="s">
        <v>1654</v>
      </c>
      <c r="J846" t="s">
        <v>397</v>
      </c>
      <c r="K846" s="7">
        <v>25481</v>
      </c>
    </row>
    <row r="847" spans="1:11" x14ac:dyDescent="0.25">
      <c r="A847">
        <v>846</v>
      </c>
      <c r="B847" t="s">
        <v>4903</v>
      </c>
      <c r="C847" t="s">
        <v>75</v>
      </c>
      <c r="D847" t="s">
        <v>1600</v>
      </c>
      <c r="E847" s="7">
        <v>43197</v>
      </c>
      <c r="F847" t="s">
        <v>4904</v>
      </c>
      <c r="G847" t="s">
        <v>4905</v>
      </c>
      <c r="H847" t="s">
        <v>4906</v>
      </c>
      <c r="I847" t="s">
        <v>1634</v>
      </c>
      <c r="J847" t="s">
        <v>397</v>
      </c>
      <c r="K847" s="7">
        <v>26757</v>
      </c>
    </row>
    <row r="848" spans="1:11" x14ac:dyDescent="0.25">
      <c r="A848">
        <v>847</v>
      </c>
      <c r="B848" t="s">
        <v>4907</v>
      </c>
      <c r="C848" t="s">
        <v>83</v>
      </c>
      <c r="D848" t="s">
        <v>1604</v>
      </c>
      <c r="E848" s="7">
        <v>43585</v>
      </c>
      <c r="F848" t="s">
        <v>4908</v>
      </c>
      <c r="G848" t="s">
        <v>4909</v>
      </c>
      <c r="H848" t="s">
        <v>4910</v>
      </c>
      <c r="I848" t="s">
        <v>1634</v>
      </c>
      <c r="J848" t="s">
        <v>1663</v>
      </c>
      <c r="K848" s="7">
        <v>25515</v>
      </c>
    </row>
    <row r="849" spans="1:11" x14ac:dyDescent="0.25">
      <c r="A849">
        <v>848</v>
      </c>
      <c r="B849" t="s">
        <v>4911</v>
      </c>
      <c r="C849" t="s">
        <v>83</v>
      </c>
      <c r="D849" t="s">
        <v>1606</v>
      </c>
      <c r="E849" s="7">
        <v>40715</v>
      </c>
      <c r="F849" t="s">
        <v>4912</v>
      </c>
      <c r="G849" t="s">
        <v>4913</v>
      </c>
      <c r="H849" t="s">
        <v>4914</v>
      </c>
      <c r="I849" t="s">
        <v>1645</v>
      </c>
      <c r="J849" t="s">
        <v>1640</v>
      </c>
      <c r="K849" s="7">
        <v>31957</v>
      </c>
    </row>
    <row r="850" spans="1:11" x14ac:dyDescent="0.25">
      <c r="A850">
        <v>849</v>
      </c>
      <c r="B850" t="s">
        <v>4915</v>
      </c>
      <c r="C850" t="s">
        <v>75</v>
      </c>
      <c r="D850" t="s">
        <v>1596</v>
      </c>
      <c r="E850" s="7">
        <v>42829</v>
      </c>
      <c r="F850" t="s">
        <v>4916</v>
      </c>
      <c r="G850" t="s">
        <v>4917</v>
      </c>
      <c r="H850" t="s">
        <v>4918</v>
      </c>
      <c r="I850" t="s">
        <v>1634</v>
      </c>
      <c r="J850" t="s">
        <v>1649</v>
      </c>
      <c r="K850" s="7">
        <v>36626</v>
      </c>
    </row>
    <row r="851" spans="1:11" x14ac:dyDescent="0.25">
      <c r="A851">
        <v>850</v>
      </c>
      <c r="B851" t="s">
        <v>4919</v>
      </c>
      <c r="C851" t="s">
        <v>83</v>
      </c>
      <c r="D851" t="s">
        <v>1610</v>
      </c>
      <c r="E851" s="7">
        <v>42629</v>
      </c>
      <c r="F851" t="s">
        <v>4920</v>
      </c>
      <c r="G851" t="s">
        <v>4921</v>
      </c>
      <c r="H851" t="s">
        <v>4922</v>
      </c>
      <c r="I851" t="s">
        <v>1738</v>
      </c>
      <c r="J851" t="s">
        <v>1640</v>
      </c>
      <c r="K851" s="7">
        <v>34568</v>
      </c>
    </row>
    <row r="852" spans="1:11" x14ac:dyDescent="0.25">
      <c r="A852">
        <v>851</v>
      </c>
      <c r="B852" t="s">
        <v>4923</v>
      </c>
      <c r="C852" t="s">
        <v>83</v>
      </c>
      <c r="D852" t="s">
        <v>1600</v>
      </c>
      <c r="E852" s="7">
        <v>43003</v>
      </c>
      <c r="F852" t="s">
        <v>4924</v>
      </c>
      <c r="G852" t="s">
        <v>4925</v>
      </c>
      <c r="H852" t="s">
        <v>4926</v>
      </c>
      <c r="I852" t="s">
        <v>1645</v>
      </c>
      <c r="J852" t="s">
        <v>1649</v>
      </c>
      <c r="K852" s="7">
        <v>33219</v>
      </c>
    </row>
    <row r="853" spans="1:11" x14ac:dyDescent="0.25">
      <c r="A853">
        <v>852</v>
      </c>
      <c r="B853" t="s">
        <v>4927</v>
      </c>
      <c r="C853" t="s">
        <v>83</v>
      </c>
      <c r="D853" t="s">
        <v>1598</v>
      </c>
      <c r="E853" s="7">
        <v>45051</v>
      </c>
      <c r="F853" t="s">
        <v>4928</v>
      </c>
      <c r="G853" t="s">
        <v>4929</v>
      </c>
      <c r="H853" t="s">
        <v>4930</v>
      </c>
      <c r="I853" t="s">
        <v>1639</v>
      </c>
      <c r="J853" t="s">
        <v>1649</v>
      </c>
      <c r="K853" s="7">
        <v>26092</v>
      </c>
    </row>
    <row r="854" spans="1:11" x14ac:dyDescent="0.25">
      <c r="A854">
        <v>853</v>
      </c>
      <c r="B854" t="s">
        <v>4931</v>
      </c>
      <c r="C854" t="s">
        <v>75</v>
      </c>
      <c r="D854" t="s">
        <v>1604</v>
      </c>
      <c r="E854" s="7">
        <v>41014</v>
      </c>
      <c r="F854" t="s">
        <v>4932</v>
      </c>
      <c r="G854" t="s">
        <v>4933</v>
      </c>
      <c r="H854" t="s">
        <v>4934</v>
      </c>
      <c r="I854" t="s">
        <v>1645</v>
      </c>
      <c r="J854" t="s">
        <v>1649</v>
      </c>
      <c r="K854" s="7">
        <v>29564</v>
      </c>
    </row>
    <row r="855" spans="1:11" x14ac:dyDescent="0.25">
      <c r="A855">
        <v>854</v>
      </c>
      <c r="B855" t="s">
        <v>4935</v>
      </c>
      <c r="C855" t="s">
        <v>83</v>
      </c>
      <c r="D855" t="s">
        <v>1606</v>
      </c>
      <c r="E855" s="7">
        <v>45415</v>
      </c>
      <c r="F855" t="s">
        <v>4936</v>
      </c>
      <c r="G855" t="s">
        <v>4937</v>
      </c>
      <c r="H855" t="s">
        <v>4938</v>
      </c>
      <c r="I855" t="s">
        <v>1639</v>
      </c>
      <c r="J855" t="s">
        <v>397</v>
      </c>
      <c r="K855" s="7">
        <v>28486</v>
      </c>
    </row>
    <row r="856" spans="1:11" x14ac:dyDescent="0.25">
      <c r="A856">
        <v>855</v>
      </c>
      <c r="B856" t="s">
        <v>4939</v>
      </c>
      <c r="C856" t="s">
        <v>83</v>
      </c>
      <c r="D856" t="s">
        <v>1596</v>
      </c>
      <c r="E856" s="7">
        <v>41951</v>
      </c>
      <c r="F856" t="s">
        <v>4940</v>
      </c>
      <c r="G856" t="s">
        <v>4941</v>
      </c>
      <c r="H856" t="s">
        <v>4942</v>
      </c>
      <c r="I856" t="s">
        <v>1645</v>
      </c>
      <c r="J856" t="s">
        <v>467</v>
      </c>
      <c r="K856" s="7">
        <v>36304</v>
      </c>
    </row>
    <row r="857" spans="1:11" x14ac:dyDescent="0.25">
      <c r="A857">
        <v>856</v>
      </c>
      <c r="B857" t="s">
        <v>4943</v>
      </c>
      <c r="C857" t="s">
        <v>83</v>
      </c>
      <c r="D857" t="s">
        <v>1612</v>
      </c>
      <c r="E857" s="7">
        <v>39499</v>
      </c>
      <c r="F857" t="s">
        <v>4944</v>
      </c>
      <c r="G857">
        <v>7234348423</v>
      </c>
      <c r="H857" t="s">
        <v>4945</v>
      </c>
      <c r="I857" t="s">
        <v>1738</v>
      </c>
      <c r="J857" t="s">
        <v>467</v>
      </c>
      <c r="K857" s="7">
        <v>27722</v>
      </c>
    </row>
    <row r="858" spans="1:11" x14ac:dyDescent="0.25">
      <c r="A858">
        <v>857</v>
      </c>
      <c r="B858" t="s">
        <v>4946</v>
      </c>
      <c r="C858" t="s">
        <v>75</v>
      </c>
      <c r="D858" t="s">
        <v>1608</v>
      </c>
      <c r="E858" s="7">
        <v>44168</v>
      </c>
      <c r="F858" t="s">
        <v>4947</v>
      </c>
      <c r="G858" t="s">
        <v>4948</v>
      </c>
      <c r="H858" t="s">
        <v>4949</v>
      </c>
      <c r="I858" t="s">
        <v>1645</v>
      </c>
      <c r="J858" t="s">
        <v>1649</v>
      </c>
      <c r="K858" s="7">
        <v>24831</v>
      </c>
    </row>
    <row r="859" spans="1:11" x14ac:dyDescent="0.25">
      <c r="A859">
        <v>858</v>
      </c>
      <c r="B859" t="s">
        <v>4950</v>
      </c>
      <c r="C859" t="s">
        <v>75</v>
      </c>
      <c r="D859" t="s">
        <v>1600</v>
      </c>
      <c r="E859" s="7">
        <v>42093</v>
      </c>
      <c r="F859" t="s">
        <v>4951</v>
      </c>
      <c r="G859" t="s">
        <v>4952</v>
      </c>
      <c r="H859" t="s">
        <v>4953</v>
      </c>
      <c r="I859" t="s">
        <v>1738</v>
      </c>
      <c r="J859" t="s">
        <v>467</v>
      </c>
      <c r="K859" s="7">
        <v>31602</v>
      </c>
    </row>
    <row r="860" spans="1:11" x14ac:dyDescent="0.25">
      <c r="A860">
        <v>859</v>
      </c>
      <c r="B860" t="s">
        <v>4954</v>
      </c>
      <c r="C860" t="s">
        <v>83</v>
      </c>
      <c r="D860" t="s">
        <v>1604</v>
      </c>
      <c r="E860" s="7">
        <v>44654</v>
      </c>
      <c r="F860" t="s">
        <v>4955</v>
      </c>
      <c r="G860" t="s">
        <v>4956</v>
      </c>
      <c r="H860" t="s">
        <v>4957</v>
      </c>
      <c r="I860" t="s">
        <v>1738</v>
      </c>
      <c r="J860" t="s">
        <v>467</v>
      </c>
      <c r="K860" s="7">
        <v>33539</v>
      </c>
    </row>
    <row r="861" spans="1:11" x14ac:dyDescent="0.25">
      <c r="A861">
        <v>860</v>
      </c>
      <c r="B861" t="s">
        <v>4958</v>
      </c>
      <c r="C861" t="s">
        <v>83</v>
      </c>
      <c r="D861" t="s">
        <v>1614</v>
      </c>
      <c r="E861" s="7">
        <v>43827</v>
      </c>
      <c r="F861" t="s">
        <v>4959</v>
      </c>
      <c r="G861" t="s">
        <v>4960</v>
      </c>
      <c r="H861" t="s">
        <v>4961</v>
      </c>
      <c r="I861" t="s">
        <v>1645</v>
      </c>
      <c r="J861" t="s">
        <v>467</v>
      </c>
      <c r="K861" s="7">
        <v>31900</v>
      </c>
    </row>
    <row r="862" spans="1:11" x14ac:dyDescent="0.25">
      <c r="A862">
        <v>861</v>
      </c>
      <c r="B862" t="s">
        <v>4962</v>
      </c>
      <c r="C862" t="s">
        <v>83</v>
      </c>
      <c r="D862" t="s">
        <v>1596</v>
      </c>
      <c r="E862" s="7">
        <v>45340</v>
      </c>
      <c r="F862" t="s">
        <v>4963</v>
      </c>
      <c r="G862" t="s">
        <v>4964</v>
      </c>
      <c r="H862" t="s">
        <v>4965</v>
      </c>
      <c r="I862" t="s">
        <v>1639</v>
      </c>
      <c r="J862" t="s">
        <v>467</v>
      </c>
      <c r="K862" s="7">
        <v>31496</v>
      </c>
    </row>
    <row r="863" spans="1:11" x14ac:dyDescent="0.25">
      <c r="A863">
        <v>862</v>
      </c>
      <c r="B863" t="s">
        <v>4966</v>
      </c>
      <c r="C863" t="s">
        <v>75</v>
      </c>
      <c r="D863" t="s">
        <v>1612</v>
      </c>
      <c r="E863" s="7">
        <v>42510</v>
      </c>
      <c r="F863" t="s">
        <v>4967</v>
      </c>
      <c r="G863">
        <f>1-502-249-8110</f>
        <v>-8860</v>
      </c>
      <c r="H863" t="s">
        <v>4968</v>
      </c>
      <c r="I863" t="s">
        <v>1738</v>
      </c>
      <c r="J863" t="s">
        <v>1649</v>
      </c>
      <c r="K863" s="7">
        <v>31650</v>
      </c>
    </row>
    <row r="864" spans="1:11" x14ac:dyDescent="0.25">
      <c r="A864">
        <v>863</v>
      </c>
      <c r="B864" t="s">
        <v>4969</v>
      </c>
      <c r="C864" t="s">
        <v>75</v>
      </c>
      <c r="D864" t="s">
        <v>1610</v>
      </c>
      <c r="E864" s="7">
        <v>43058</v>
      </c>
      <c r="F864" t="s">
        <v>4970</v>
      </c>
      <c r="G864" t="s">
        <v>4971</v>
      </c>
      <c r="H864" t="s">
        <v>4972</v>
      </c>
      <c r="I864" t="s">
        <v>1639</v>
      </c>
      <c r="J864" t="s">
        <v>1640</v>
      </c>
      <c r="K864" s="7">
        <v>29400</v>
      </c>
    </row>
    <row r="865" spans="1:11" x14ac:dyDescent="0.25">
      <c r="A865">
        <v>864</v>
      </c>
      <c r="B865" t="s">
        <v>4973</v>
      </c>
      <c r="C865" t="s">
        <v>83</v>
      </c>
      <c r="D865" t="s">
        <v>1598</v>
      </c>
      <c r="E865" s="7">
        <v>41235</v>
      </c>
      <c r="F865" t="s">
        <v>4974</v>
      </c>
      <c r="G865" t="s">
        <v>4975</v>
      </c>
      <c r="H865" t="s">
        <v>4976</v>
      </c>
      <c r="I865" t="s">
        <v>1639</v>
      </c>
      <c r="J865" t="s">
        <v>1640</v>
      </c>
      <c r="K865" s="7">
        <v>35480</v>
      </c>
    </row>
    <row r="866" spans="1:11" x14ac:dyDescent="0.25">
      <c r="A866">
        <v>865</v>
      </c>
      <c r="B866" t="s">
        <v>4977</v>
      </c>
      <c r="C866" t="s">
        <v>75</v>
      </c>
      <c r="D866" t="s">
        <v>1610</v>
      </c>
      <c r="E866" s="7">
        <v>45151</v>
      </c>
      <c r="F866" t="s">
        <v>4978</v>
      </c>
      <c r="G866" t="s">
        <v>4979</v>
      </c>
      <c r="H866" t="s">
        <v>4980</v>
      </c>
      <c r="I866" t="s">
        <v>1634</v>
      </c>
      <c r="J866" t="s">
        <v>1649</v>
      </c>
      <c r="K866" s="7">
        <v>23797</v>
      </c>
    </row>
    <row r="867" spans="1:11" x14ac:dyDescent="0.25">
      <c r="A867">
        <v>866</v>
      </c>
      <c r="B867" t="s">
        <v>4981</v>
      </c>
      <c r="C867" t="s">
        <v>83</v>
      </c>
      <c r="D867" t="s">
        <v>1598</v>
      </c>
      <c r="E867" s="7">
        <v>43364</v>
      </c>
      <c r="F867" t="s">
        <v>4982</v>
      </c>
      <c r="G867" t="s">
        <v>4983</v>
      </c>
      <c r="H867" t="s">
        <v>4984</v>
      </c>
      <c r="I867" t="s">
        <v>1634</v>
      </c>
      <c r="J867" t="s">
        <v>397</v>
      </c>
      <c r="K867" s="7">
        <v>25547</v>
      </c>
    </row>
    <row r="868" spans="1:11" x14ac:dyDescent="0.25">
      <c r="A868">
        <v>867</v>
      </c>
      <c r="B868" t="s">
        <v>4985</v>
      </c>
      <c r="C868" t="s">
        <v>83</v>
      </c>
      <c r="D868" t="s">
        <v>1608</v>
      </c>
      <c r="E868" s="7">
        <v>42517</v>
      </c>
      <c r="F868" t="s">
        <v>4986</v>
      </c>
      <c r="G868">
        <v>5427160204</v>
      </c>
      <c r="H868" t="s">
        <v>4987</v>
      </c>
      <c r="I868" t="s">
        <v>1639</v>
      </c>
      <c r="J868" t="s">
        <v>1663</v>
      </c>
      <c r="K868" s="7">
        <v>31239</v>
      </c>
    </row>
    <row r="869" spans="1:11" x14ac:dyDescent="0.25">
      <c r="A869">
        <v>868</v>
      </c>
      <c r="B869" t="s">
        <v>4988</v>
      </c>
      <c r="C869" t="s">
        <v>75</v>
      </c>
      <c r="D869" t="s">
        <v>1600</v>
      </c>
      <c r="E869" s="7">
        <v>42549</v>
      </c>
      <c r="F869" t="s">
        <v>4989</v>
      </c>
      <c r="G869">
        <v>8900051392</v>
      </c>
      <c r="H869" t="s">
        <v>4990</v>
      </c>
      <c r="I869" t="s">
        <v>1654</v>
      </c>
      <c r="J869" t="s">
        <v>1649</v>
      </c>
      <c r="K869" s="7">
        <v>31177</v>
      </c>
    </row>
    <row r="870" spans="1:11" x14ac:dyDescent="0.25">
      <c r="A870">
        <v>869</v>
      </c>
      <c r="B870" t="s">
        <v>4991</v>
      </c>
      <c r="C870" t="s">
        <v>75</v>
      </c>
      <c r="D870" t="s">
        <v>1614</v>
      </c>
      <c r="E870" s="7">
        <v>38716</v>
      </c>
      <c r="F870" t="s">
        <v>4992</v>
      </c>
      <c r="G870" t="s">
        <v>4993</v>
      </c>
      <c r="H870" t="s">
        <v>4994</v>
      </c>
      <c r="I870" t="s">
        <v>1654</v>
      </c>
      <c r="J870" t="s">
        <v>397</v>
      </c>
      <c r="K870" s="7">
        <v>30733</v>
      </c>
    </row>
    <row r="871" spans="1:11" x14ac:dyDescent="0.25">
      <c r="A871">
        <v>870</v>
      </c>
      <c r="B871" t="s">
        <v>4995</v>
      </c>
      <c r="C871" t="s">
        <v>75</v>
      </c>
      <c r="D871" t="s">
        <v>1600</v>
      </c>
      <c r="E871" s="7">
        <v>42649</v>
      </c>
      <c r="F871" t="s">
        <v>4996</v>
      </c>
      <c r="G871" t="s">
        <v>4997</v>
      </c>
      <c r="H871" t="s">
        <v>4998</v>
      </c>
      <c r="I871" t="s">
        <v>1639</v>
      </c>
      <c r="J871" t="s">
        <v>467</v>
      </c>
      <c r="K871" s="7">
        <v>34854</v>
      </c>
    </row>
    <row r="872" spans="1:11" x14ac:dyDescent="0.25">
      <c r="A872">
        <v>871</v>
      </c>
      <c r="B872" t="s">
        <v>4999</v>
      </c>
      <c r="C872" t="s">
        <v>75</v>
      </c>
      <c r="D872" t="s">
        <v>1600</v>
      </c>
      <c r="E872" s="7">
        <v>42180</v>
      </c>
      <c r="F872" t="s">
        <v>5000</v>
      </c>
      <c r="G872" t="s">
        <v>5001</v>
      </c>
      <c r="H872" t="s">
        <v>5002</v>
      </c>
      <c r="I872" t="s">
        <v>1639</v>
      </c>
      <c r="J872" t="s">
        <v>1663</v>
      </c>
      <c r="K872" s="7">
        <v>25924</v>
      </c>
    </row>
    <row r="873" spans="1:11" x14ac:dyDescent="0.25">
      <c r="A873">
        <v>872</v>
      </c>
      <c r="B873" t="s">
        <v>5003</v>
      </c>
      <c r="C873" t="s">
        <v>75</v>
      </c>
      <c r="D873" t="s">
        <v>1608</v>
      </c>
      <c r="E873" s="7">
        <v>40481</v>
      </c>
      <c r="F873" t="s">
        <v>5004</v>
      </c>
      <c r="G873" t="s">
        <v>5005</v>
      </c>
      <c r="H873" t="s">
        <v>5006</v>
      </c>
      <c r="I873" t="s">
        <v>1738</v>
      </c>
      <c r="J873" t="s">
        <v>1663</v>
      </c>
      <c r="K873" s="7">
        <v>29088</v>
      </c>
    </row>
    <row r="874" spans="1:11" x14ac:dyDescent="0.25">
      <c r="A874">
        <v>873</v>
      </c>
      <c r="B874" t="s">
        <v>2054</v>
      </c>
      <c r="C874" t="s">
        <v>83</v>
      </c>
      <c r="D874" t="s">
        <v>1612</v>
      </c>
      <c r="E874" s="7">
        <v>40148</v>
      </c>
      <c r="F874" t="s">
        <v>5007</v>
      </c>
      <c r="G874" t="s">
        <v>5008</v>
      </c>
      <c r="H874" t="s">
        <v>5009</v>
      </c>
      <c r="I874" t="s">
        <v>1738</v>
      </c>
      <c r="J874" t="s">
        <v>1649</v>
      </c>
      <c r="K874" s="7">
        <v>34013</v>
      </c>
    </row>
    <row r="875" spans="1:11" x14ac:dyDescent="0.25">
      <c r="A875">
        <v>874</v>
      </c>
      <c r="B875" t="s">
        <v>5010</v>
      </c>
      <c r="C875" t="s">
        <v>83</v>
      </c>
      <c r="D875" t="s">
        <v>1608</v>
      </c>
      <c r="E875" s="7">
        <v>39442</v>
      </c>
      <c r="F875" t="s">
        <v>5011</v>
      </c>
      <c r="G875" t="s">
        <v>5012</v>
      </c>
      <c r="H875" t="s">
        <v>5013</v>
      </c>
      <c r="I875" t="s">
        <v>1645</v>
      </c>
      <c r="J875" t="s">
        <v>467</v>
      </c>
      <c r="K875" s="7">
        <v>30418</v>
      </c>
    </row>
    <row r="876" spans="1:11" x14ac:dyDescent="0.25">
      <c r="A876">
        <v>875</v>
      </c>
      <c r="B876" t="s">
        <v>5014</v>
      </c>
      <c r="C876" t="s">
        <v>83</v>
      </c>
      <c r="D876" t="s">
        <v>1602</v>
      </c>
      <c r="E876" s="7">
        <v>43311</v>
      </c>
      <c r="F876" t="s">
        <v>5015</v>
      </c>
      <c r="G876" t="s">
        <v>5016</v>
      </c>
      <c r="H876" t="s">
        <v>5017</v>
      </c>
      <c r="I876" t="s">
        <v>1634</v>
      </c>
      <c r="J876" t="s">
        <v>1649</v>
      </c>
      <c r="K876" s="7">
        <v>33604</v>
      </c>
    </row>
    <row r="877" spans="1:11" x14ac:dyDescent="0.25">
      <c r="A877">
        <v>876</v>
      </c>
      <c r="B877" t="s">
        <v>5018</v>
      </c>
      <c r="C877" t="s">
        <v>75</v>
      </c>
      <c r="D877" t="s">
        <v>1612</v>
      </c>
      <c r="E877" s="7">
        <v>44557</v>
      </c>
      <c r="F877" t="s">
        <v>5019</v>
      </c>
      <c r="G877">
        <v>2171845183</v>
      </c>
      <c r="H877" t="s">
        <v>5020</v>
      </c>
      <c r="I877" t="s">
        <v>1639</v>
      </c>
      <c r="J877" t="s">
        <v>1649</v>
      </c>
      <c r="K877" s="7">
        <v>27795</v>
      </c>
    </row>
    <row r="878" spans="1:11" x14ac:dyDescent="0.25">
      <c r="A878">
        <v>877</v>
      </c>
      <c r="B878" t="s">
        <v>5021</v>
      </c>
      <c r="C878" t="s">
        <v>75</v>
      </c>
      <c r="D878" t="s">
        <v>1596</v>
      </c>
      <c r="E878" s="7">
        <v>40837</v>
      </c>
      <c r="F878" t="s">
        <v>5022</v>
      </c>
      <c r="G878" t="s">
        <v>5023</v>
      </c>
      <c r="H878" t="s">
        <v>5024</v>
      </c>
      <c r="I878" t="s">
        <v>1654</v>
      </c>
      <c r="J878" t="s">
        <v>1649</v>
      </c>
      <c r="K878" s="7">
        <v>31579</v>
      </c>
    </row>
    <row r="879" spans="1:11" x14ac:dyDescent="0.25">
      <c r="A879">
        <v>878</v>
      </c>
      <c r="B879" t="s">
        <v>5025</v>
      </c>
      <c r="C879" t="s">
        <v>83</v>
      </c>
      <c r="D879" t="s">
        <v>1604</v>
      </c>
      <c r="E879" s="7">
        <v>38695</v>
      </c>
      <c r="F879" t="s">
        <v>5026</v>
      </c>
      <c r="G879" t="s">
        <v>5027</v>
      </c>
      <c r="H879" t="s">
        <v>5028</v>
      </c>
      <c r="I879" t="s">
        <v>1639</v>
      </c>
      <c r="J879" t="s">
        <v>1649</v>
      </c>
      <c r="K879" s="7">
        <v>26592</v>
      </c>
    </row>
    <row r="880" spans="1:11" x14ac:dyDescent="0.25">
      <c r="A880">
        <v>879</v>
      </c>
      <c r="B880" t="s">
        <v>5029</v>
      </c>
      <c r="C880" t="s">
        <v>75</v>
      </c>
      <c r="D880" t="s">
        <v>1614</v>
      </c>
      <c r="E880" s="7">
        <v>44488</v>
      </c>
      <c r="F880" t="s">
        <v>5030</v>
      </c>
      <c r="G880" t="s">
        <v>5031</v>
      </c>
      <c r="H880" t="s">
        <v>5032</v>
      </c>
      <c r="I880" t="s">
        <v>1738</v>
      </c>
      <c r="J880" t="s">
        <v>397</v>
      </c>
      <c r="K880" s="7">
        <v>35843</v>
      </c>
    </row>
    <row r="881" spans="1:11" x14ac:dyDescent="0.25">
      <c r="A881">
        <v>880</v>
      </c>
      <c r="B881" t="s">
        <v>5033</v>
      </c>
      <c r="C881" t="s">
        <v>75</v>
      </c>
      <c r="D881" t="s">
        <v>1614</v>
      </c>
      <c r="E881" s="7">
        <v>38725</v>
      </c>
      <c r="F881" t="s">
        <v>5034</v>
      </c>
      <c r="G881" t="s">
        <v>5035</v>
      </c>
      <c r="H881" t="s">
        <v>5036</v>
      </c>
      <c r="I881" t="s">
        <v>1645</v>
      </c>
      <c r="J881" t="s">
        <v>1663</v>
      </c>
      <c r="K881" s="7">
        <v>34639</v>
      </c>
    </row>
    <row r="882" spans="1:11" x14ac:dyDescent="0.25">
      <c r="A882">
        <v>881</v>
      </c>
      <c r="B882" t="s">
        <v>5037</v>
      </c>
      <c r="C882" t="s">
        <v>83</v>
      </c>
      <c r="D882" t="s">
        <v>1608</v>
      </c>
      <c r="E882" s="7">
        <v>40746</v>
      </c>
      <c r="F882" t="s">
        <v>5038</v>
      </c>
      <c r="G882" t="s">
        <v>5039</v>
      </c>
      <c r="H882" t="s">
        <v>5040</v>
      </c>
      <c r="I882" t="s">
        <v>1738</v>
      </c>
      <c r="J882" t="s">
        <v>467</v>
      </c>
      <c r="K882" s="7">
        <v>27282</v>
      </c>
    </row>
    <row r="883" spans="1:11" x14ac:dyDescent="0.25">
      <c r="A883">
        <v>882</v>
      </c>
      <c r="B883" t="s">
        <v>5041</v>
      </c>
      <c r="C883" t="s">
        <v>83</v>
      </c>
      <c r="D883" t="s">
        <v>1600</v>
      </c>
      <c r="E883" s="7">
        <v>45736</v>
      </c>
      <c r="F883" t="s">
        <v>5042</v>
      </c>
      <c r="G883" t="s">
        <v>5043</v>
      </c>
      <c r="H883" t="s">
        <v>5044</v>
      </c>
      <c r="I883" t="s">
        <v>1645</v>
      </c>
      <c r="J883" t="s">
        <v>467</v>
      </c>
      <c r="K883" s="7">
        <v>26148</v>
      </c>
    </row>
    <row r="884" spans="1:11" x14ac:dyDescent="0.25">
      <c r="A884">
        <v>883</v>
      </c>
      <c r="B884" t="s">
        <v>5045</v>
      </c>
      <c r="C884" t="s">
        <v>75</v>
      </c>
      <c r="D884" t="s">
        <v>1598</v>
      </c>
      <c r="E884" s="7">
        <v>39573</v>
      </c>
      <c r="F884" t="s">
        <v>5046</v>
      </c>
      <c r="G884" t="s">
        <v>5047</v>
      </c>
      <c r="H884" t="s">
        <v>5048</v>
      </c>
      <c r="I884" t="s">
        <v>1654</v>
      </c>
      <c r="J884" t="s">
        <v>467</v>
      </c>
      <c r="K884" s="7">
        <v>26196</v>
      </c>
    </row>
    <row r="885" spans="1:11" x14ac:dyDescent="0.25">
      <c r="A885">
        <v>884</v>
      </c>
      <c r="B885" t="s">
        <v>5049</v>
      </c>
      <c r="C885" t="s">
        <v>75</v>
      </c>
      <c r="D885" t="s">
        <v>1596</v>
      </c>
      <c r="E885" s="7">
        <v>43102</v>
      </c>
      <c r="F885" t="s">
        <v>5050</v>
      </c>
      <c r="G885">
        <v>8486266694</v>
      </c>
      <c r="H885" t="s">
        <v>5051</v>
      </c>
      <c r="I885" t="s">
        <v>1639</v>
      </c>
      <c r="J885" t="s">
        <v>1640</v>
      </c>
      <c r="K885" s="7">
        <v>32282</v>
      </c>
    </row>
    <row r="886" spans="1:11" x14ac:dyDescent="0.25">
      <c r="A886">
        <v>885</v>
      </c>
      <c r="B886" t="s">
        <v>5052</v>
      </c>
      <c r="C886" t="s">
        <v>83</v>
      </c>
      <c r="D886" t="s">
        <v>1596</v>
      </c>
      <c r="E886" s="7">
        <v>42633</v>
      </c>
      <c r="F886" t="s">
        <v>5053</v>
      </c>
      <c r="G886" t="s">
        <v>5054</v>
      </c>
      <c r="H886" t="s">
        <v>5055</v>
      </c>
      <c r="I886" t="s">
        <v>1654</v>
      </c>
      <c r="J886" t="s">
        <v>1663</v>
      </c>
      <c r="K886" s="7">
        <v>34513</v>
      </c>
    </row>
    <row r="887" spans="1:11" x14ac:dyDescent="0.25">
      <c r="A887">
        <v>886</v>
      </c>
      <c r="B887" t="s">
        <v>5056</v>
      </c>
      <c r="C887" t="s">
        <v>83</v>
      </c>
      <c r="D887" t="s">
        <v>1608</v>
      </c>
      <c r="E887" s="7">
        <v>45390</v>
      </c>
      <c r="F887" t="s">
        <v>5057</v>
      </c>
      <c r="G887">
        <v>1600838610</v>
      </c>
      <c r="H887" t="s">
        <v>5058</v>
      </c>
      <c r="I887" t="s">
        <v>1639</v>
      </c>
      <c r="J887" t="s">
        <v>467</v>
      </c>
      <c r="K887" s="7">
        <v>32803</v>
      </c>
    </row>
    <row r="888" spans="1:11" x14ac:dyDescent="0.25">
      <c r="A888">
        <v>887</v>
      </c>
      <c r="B888" t="s">
        <v>5059</v>
      </c>
      <c r="C888" t="s">
        <v>75</v>
      </c>
      <c r="D888" t="s">
        <v>1606</v>
      </c>
      <c r="E888" s="7">
        <v>38590</v>
      </c>
      <c r="F888" t="s">
        <v>5060</v>
      </c>
      <c r="G888" t="s">
        <v>5061</v>
      </c>
      <c r="H888" t="s">
        <v>5062</v>
      </c>
      <c r="I888" t="s">
        <v>1645</v>
      </c>
      <c r="J888" t="s">
        <v>1640</v>
      </c>
      <c r="K888" s="7">
        <v>24382</v>
      </c>
    </row>
    <row r="889" spans="1:11" x14ac:dyDescent="0.25">
      <c r="A889">
        <v>888</v>
      </c>
      <c r="B889" t="s">
        <v>5063</v>
      </c>
      <c r="C889" t="s">
        <v>75</v>
      </c>
      <c r="D889" t="s">
        <v>1600</v>
      </c>
      <c r="E889" s="7">
        <v>44127</v>
      </c>
      <c r="F889" t="s">
        <v>5064</v>
      </c>
      <c r="G889" t="s">
        <v>5065</v>
      </c>
      <c r="H889" t="s">
        <v>5066</v>
      </c>
      <c r="I889" t="s">
        <v>1639</v>
      </c>
      <c r="J889" t="s">
        <v>1649</v>
      </c>
      <c r="K889" s="7">
        <v>27418</v>
      </c>
    </row>
    <row r="890" spans="1:11" x14ac:dyDescent="0.25">
      <c r="A890">
        <v>889</v>
      </c>
      <c r="B890" t="s">
        <v>5067</v>
      </c>
      <c r="C890" t="s">
        <v>83</v>
      </c>
      <c r="D890" t="s">
        <v>1602</v>
      </c>
      <c r="E890" s="7">
        <v>43492</v>
      </c>
      <c r="F890" t="s">
        <v>5068</v>
      </c>
      <c r="G890" t="s">
        <v>5069</v>
      </c>
      <c r="H890" t="s">
        <v>5070</v>
      </c>
      <c r="I890" t="s">
        <v>1654</v>
      </c>
      <c r="J890" t="s">
        <v>1663</v>
      </c>
      <c r="K890" s="7">
        <v>30746</v>
      </c>
    </row>
    <row r="891" spans="1:11" x14ac:dyDescent="0.25">
      <c r="A891">
        <v>890</v>
      </c>
      <c r="B891" t="s">
        <v>5071</v>
      </c>
      <c r="C891" t="s">
        <v>75</v>
      </c>
      <c r="D891" t="s">
        <v>1602</v>
      </c>
      <c r="E891" s="7">
        <v>42022</v>
      </c>
      <c r="F891" t="s">
        <v>5072</v>
      </c>
      <c r="G891" t="s">
        <v>5073</v>
      </c>
      <c r="H891" t="s">
        <v>5074</v>
      </c>
      <c r="I891" t="s">
        <v>1654</v>
      </c>
      <c r="J891" t="s">
        <v>1663</v>
      </c>
      <c r="K891" s="7">
        <v>33825</v>
      </c>
    </row>
    <row r="892" spans="1:11" x14ac:dyDescent="0.25">
      <c r="A892">
        <v>891</v>
      </c>
      <c r="B892" t="s">
        <v>5075</v>
      </c>
      <c r="C892" t="s">
        <v>75</v>
      </c>
      <c r="D892" t="s">
        <v>1602</v>
      </c>
      <c r="E892" s="7">
        <v>45136</v>
      </c>
      <c r="F892" t="s">
        <v>5076</v>
      </c>
      <c r="G892" t="s">
        <v>5077</v>
      </c>
      <c r="H892" t="s">
        <v>5078</v>
      </c>
      <c r="I892" t="s">
        <v>1654</v>
      </c>
      <c r="J892" t="s">
        <v>467</v>
      </c>
      <c r="K892" s="7">
        <v>25204</v>
      </c>
    </row>
    <row r="893" spans="1:11" x14ac:dyDescent="0.25">
      <c r="A893">
        <v>892</v>
      </c>
      <c r="B893" t="s">
        <v>5079</v>
      </c>
      <c r="C893" t="s">
        <v>83</v>
      </c>
      <c r="D893" t="s">
        <v>1604</v>
      </c>
      <c r="E893" s="7">
        <v>44553</v>
      </c>
      <c r="F893" t="s">
        <v>5080</v>
      </c>
      <c r="G893" t="s">
        <v>5081</v>
      </c>
      <c r="H893" t="s">
        <v>5082</v>
      </c>
      <c r="I893" t="s">
        <v>1654</v>
      </c>
      <c r="J893" t="s">
        <v>1640</v>
      </c>
      <c r="K893" s="7">
        <v>26770</v>
      </c>
    </row>
    <row r="894" spans="1:11" x14ac:dyDescent="0.25">
      <c r="A894">
        <v>893</v>
      </c>
      <c r="B894" t="s">
        <v>5083</v>
      </c>
      <c r="C894" t="s">
        <v>75</v>
      </c>
      <c r="D894" t="s">
        <v>1610</v>
      </c>
      <c r="E894" s="7">
        <v>44533</v>
      </c>
      <c r="F894" t="s">
        <v>5084</v>
      </c>
      <c r="G894">
        <v>3633099620</v>
      </c>
      <c r="H894" t="s">
        <v>5085</v>
      </c>
      <c r="I894" t="s">
        <v>1634</v>
      </c>
      <c r="J894" t="s">
        <v>397</v>
      </c>
      <c r="K894" s="7">
        <v>34688</v>
      </c>
    </row>
    <row r="895" spans="1:11" x14ac:dyDescent="0.25">
      <c r="A895">
        <v>894</v>
      </c>
      <c r="B895" t="s">
        <v>5086</v>
      </c>
      <c r="C895" t="s">
        <v>83</v>
      </c>
      <c r="D895" t="s">
        <v>1614</v>
      </c>
      <c r="E895" s="7">
        <v>42990</v>
      </c>
      <c r="F895" t="s">
        <v>5087</v>
      </c>
      <c r="G895" t="s">
        <v>5088</v>
      </c>
      <c r="H895" t="s">
        <v>5089</v>
      </c>
      <c r="I895" t="s">
        <v>1634</v>
      </c>
      <c r="J895" t="s">
        <v>1663</v>
      </c>
      <c r="K895" s="7">
        <v>26990</v>
      </c>
    </row>
    <row r="896" spans="1:11" x14ac:dyDescent="0.25">
      <c r="A896">
        <v>895</v>
      </c>
      <c r="B896" t="s">
        <v>5090</v>
      </c>
      <c r="C896" t="s">
        <v>75</v>
      </c>
      <c r="D896" t="s">
        <v>1602</v>
      </c>
      <c r="E896" s="7">
        <v>40910</v>
      </c>
      <c r="F896" t="s">
        <v>5091</v>
      </c>
      <c r="G896" t="s">
        <v>5092</v>
      </c>
      <c r="H896" t="s">
        <v>5093</v>
      </c>
      <c r="I896" t="s">
        <v>1645</v>
      </c>
      <c r="J896" t="s">
        <v>1649</v>
      </c>
      <c r="K896" s="7">
        <v>35699</v>
      </c>
    </row>
    <row r="897" spans="1:11" x14ac:dyDescent="0.25">
      <c r="A897">
        <v>896</v>
      </c>
      <c r="B897" t="s">
        <v>5094</v>
      </c>
      <c r="C897" t="s">
        <v>83</v>
      </c>
      <c r="D897" t="s">
        <v>1612</v>
      </c>
      <c r="E897" s="7">
        <v>44194</v>
      </c>
      <c r="F897" t="s">
        <v>5095</v>
      </c>
      <c r="G897" t="s">
        <v>5096</v>
      </c>
      <c r="H897" t="s">
        <v>5097</v>
      </c>
      <c r="I897" t="s">
        <v>1634</v>
      </c>
      <c r="J897" t="s">
        <v>397</v>
      </c>
      <c r="K897" s="7">
        <v>31542</v>
      </c>
    </row>
    <row r="898" spans="1:11" x14ac:dyDescent="0.25">
      <c r="A898">
        <v>897</v>
      </c>
      <c r="B898" t="s">
        <v>5098</v>
      </c>
      <c r="C898" t="s">
        <v>75</v>
      </c>
      <c r="D898" t="s">
        <v>1602</v>
      </c>
      <c r="E898" s="7">
        <v>45677</v>
      </c>
      <c r="F898" t="s">
        <v>5099</v>
      </c>
      <c r="G898" t="s">
        <v>5100</v>
      </c>
      <c r="H898" t="s">
        <v>5101</v>
      </c>
      <c r="I898" t="s">
        <v>1738</v>
      </c>
      <c r="J898" t="s">
        <v>1640</v>
      </c>
      <c r="K898" s="7">
        <v>24538</v>
      </c>
    </row>
    <row r="899" spans="1:11" x14ac:dyDescent="0.25">
      <c r="A899">
        <v>898</v>
      </c>
      <c r="B899" t="s">
        <v>5102</v>
      </c>
      <c r="C899" t="s">
        <v>83</v>
      </c>
      <c r="D899" t="s">
        <v>1610</v>
      </c>
      <c r="E899" s="7">
        <v>43827</v>
      </c>
      <c r="F899" t="s">
        <v>5103</v>
      </c>
      <c r="G899" t="s">
        <v>5104</v>
      </c>
      <c r="H899" t="s">
        <v>5105</v>
      </c>
      <c r="I899" t="s">
        <v>1634</v>
      </c>
      <c r="J899" t="s">
        <v>397</v>
      </c>
      <c r="K899" s="7">
        <v>29615</v>
      </c>
    </row>
    <row r="900" spans="1:11" x14ac:dyDescent="0.25">
      <c r="A900">
        <v>899</v>
      </c>
      <c r="B900" t="s">
        <v>5106</v>
      </c>
      <c r="C900" t="s">
        <v>75</v>
      </c>
      <c r="D900" t="s">
        <v>1602</v>
      </c>
      <c r="E900" s="7">
        <v>40063</v>
      </c>
      <c r="F900" t="s">
        <v>5107</v>
      </c>
      <c r="G900" t="s">
        <v>5108</v>
      </c>
      <c r="H900" t="s">
        <v>5109</v>
      </c>
      <c r="I900" t="s">
        <v>1639</v>
      </c>
      <c r="J900" t="s">
        <v>1663</v>
      </c>
      <c r="K900" s="7">
        <v>30336</v>
      </c>
    </row>
    <row r="901" spans="1:11" x14ac:dyDescent="0.25">
      <c r="A901">
        <v>900</v>
      </c>
      <c r="B901" t="s">
        <v>5110</v>
      </c>
      <c r="C901" t="s">
        <v>83</v>
      </c>
      <c r="D901" t="s">
        <v>1608</v>
      </c>
      <c r="E901" s="7">
        <v>41916</v>
      </c>
      <c r="F901" t="s">
        <v>5111</v>
      </c>
      <c r="G901" t="s">
        <v>5112</v>
      </c>
      <c r="H901" t="s">
        <v>5113</v>
      </c>
      <c r="I901" t="s">
        <v>1634</v>
      </c>
      <c r="J901" t="s">
        <v>1640</v>
      </c>
      <c r="K901" s="7">
        <v>33567</v>
      </c>
    </row>
    <row r="902" spans="1:11" x14ac:dyDescent="0.25">
      <c r="A902">
        <v>901</v>
      </c>
      <c r="B902" t="s">
        <v>5114</v>
      </c>
      <c r="C902" t="s">
        <v>75</v>
      </c>
      <c r="D902" t="s">
        <v>1598</v>
      </c>
      <c r="E902" s="7">
        <v>39338</v>
      </c>
      <c r="F902" t="s">
        <v>5115</v>
      </c>
      <c r="G902" t="s">
        <v>5116</v>
      </c>
      <c r="H902" t="s">
        <v>5117</v>
      </c>
      <c r="I902" t="s">
        <v>1645</v>
      </c>
      <c r="J902" t="s">
        <v>467</v>
      </c>
      <c r="K902" s="7">
        <v>26749</v>
      </c>
    </row>
    <row r="903" spans="1:11" x14ac:dyDescent="0.25">
      <c r="A903">
        <v>902</v>
      </c>
      <c r="B903" t="s">
        <v>5118</v>
      </c>
      <c r="C903" t="s">
        <v>83</v>
      </c>
      <c r="D903" t="s">
        <v>1600</v>
      </c>
      <c r="E903" s="7">
        <v>41275</v>
      </c>
      <c r="F903" t="s">
        <v>5119</v>
      </c>
      <c r="G903" t="s">
        <v>5120</v>
      </c>
      <c r="H903" t="s">
        <v>5121</v>
      </c>
      <c r="I903" t="s">
        <v>1738</v>
      </c>
      <c r="J903" t="s">
        <v>1663</v>
      </c>
      <c r="K903" s="7">
        <v>25814</v>
      </c>
    </row>
    <row r="904" spans="1:11" x14ac:dyDescent="0.25">
      <c r="A904">
        <v>903</v>
      </c>
      <c r="B904" t="s">
        <v>5122</v>
      </c>
      <c r="C904" t="s">
        <v>83</v>
      </c>
      <c r="D904" t="s">
        <v>1598</v>
      </c>
      <c r="E904" s="7">
        <v>43909</v>
      </c>
      <c r="F904" t="s">
        <v>5123</v>
      </c>
      <c r="G904" t="s">
        <v>5124</v>
      </c>
      <c r="H904" t="s">
        <v>5125</v>
      </c>
      <c r="I904" t="s">
        <v>1639</v>
      </c>
      <c r="J904" t="s">
        <v>1640</v>
      </c>
      <c r="K904" s="7">
        <v>30431</v>
      </c>
    </row>
    <row r="905" spans="1:11" x14ac:dyDescent="0.25">
      <c r="A905">
        <v>904</v>
      </c>
      <c r="B905" t="s">
        <v>5126</v>
      </c>
      <c r="C905" t="s">
        <v>75</v>
      </c>
      <c r="D905" t="s">
        <v>1602</v>
      </c>
      <c r="E905" s="7">
        <v>41242</v>
      </c>
      <c r="F905" t="s">
        <v>5127</v>
      </c>
      <c r="G905" t="s">
        <v>5128</v>
      </c>
      <c r="H905" t="s">
        <v>5129</v>
      </c>
      <c r="I905" t="s">
        <v>1654</v>
      </c>
      <c r="J905" t="s">
        <v>397</v>
      </c>
      <c r="K905" s="7">
        <v>29697</v>
      </c>
    </row>
    <row r="906" spans="1:11" x14ac:dyDescent="0.25">
      <c r="A906">
        <v>905</v>
      </c>
      <c r="B906" t="s">
        <v>5130</v>
      </c>
      <c r="C906" t="s">
        <v>83</v>
      </c>
      <c r="D906" t="s">
        <v>1596</v>
      </c>
      <c r="E906" s="7">
        <v>45632</v>
      </c>
      <c r="F906" t="s">
        <v>5131</v>
      </c>
      <c r="G906" t="s">
        <v>5132</v>
      </c>
      <c r="H906" t="s">
        <v>5133</v>
      </c>
      <c r="I906" t="s">
        <v>1639</v>
      </c>
      <c r="J906" t="s">
        <v>1663</v>
      </c>
      <c r="K906" s="7">
        <v>26576</v>
      </c>
    </row>
    <row r="907" spans="1:11" x14ac:dyDescent="0.25">
      <c r="A907">
        <v>906</v>
      </c>
      <c r="B907" t="s">
        <v>5134</v>
      </c>
      <c r="C907" t="s">
        <v>75</v>
      </c>
      <c r="D907" t="s">
        <v>1606</v>
      </c>
      <c r="E907" s="7">
        <v>39258</v>
      </c>
      <c r="F907" t="s">
        <v>5135</v>
      </c>
      <c r="G907" t="s">
        <v>5136</v>
      </c>
      <c r="H907" t="s">
        <v>5137</v>
      </c>
      <c r="I907" t="s">
        <v>1639</v>
      </c>
      <c r="J907" t="s">
        <v>1640</v>
      </c>
      <c r="K907" s="7">
        <v>28440</v>
      </c>
    </row>
    <row r="908" spans="1:11" x14ac:dyDescent="0.25">
      <c r="A908">
        <v>907</v>
      </c>
      <c r="B908" t="s">
        <v>5138</v>
      </c>
      <c r="C908" t="s">
        <v>75</v>
      </c>
      <c r="D908" t="s">
        <v>1614</v>
      </c>
      <c r="E908" s="7">
        <v>38597</v>
      </c>
      <c r="F908" t="s">
        <v>5139</v>
      </c>
      <c r="G908">
        <v>4454957895</v>
      </c>
      <c r="H908" t="s">
        <v>5140</v>
      </c>
      <c r="I908" t="s">
        <v>1639</v>
      </c>
      <c r="J908" t="s">
        <v>397</v>
      </c>
      <c r="K908" s="7">
        <v>25186</v>
      </c>
    </row>
    <row r="909" spans="1:11" x14ac:dyDescent="0.25">
      <c r="A909">
        <v>908</v>
      </c>
      <c r="B909" t="s">
        <v>5141</v>
      </c>
      <c r="C909" t="s">
        <v>83</v>
      </c>
      <c r="D909" t="s">
        <v>1600</v>
      </c>
      <c r="E909" s="7">
        <v>44231</v>
      </c>
      <c r="F909" t="s">
        <v>5142</v>
      </c>
      <c r="G909" t="s">
        <v>5143</v>
      </c>
      <c r="H909" t="s">
        <v>5144</v>
      </c>
      <c r="I909" t="s">
        <v>1645</v>
      </c>
      <c r="J909" t="s">
        <v>1649</v>
      </c>
      <c r="K909" s="7">
        <v>35862</v>
      </c>
    </row>
    <row r="910" spans="1:11" x14ac:dyDescent="0.25">
      <c r="A910">
        <v>909</v>
      </c>
      <c r="B910" t="s">
        <v>5145</v>
      </c>
      <c r="C910" t="s">
        <v>83</v>
      </c>
      <c r="D910" t="s">
        <v>1602</v>
      </c>
      <c r="E910" s="7">
        <v>43804</v>
      </c>
      <c r="F910" t="s">
        <v>5146</v>
      </c>
      <c r="G910" t="s">
        <v>5147</v>
      </c>
      <c r="H910" t="s">
        <v>5148</v>
      </c>
      <c r="I910" t="s">
        <v>1634</v>
      </c>
      <c r="J910" t="s">
        <v>1663</v>
      </c>
      <c r="K910" s="7">
        <v>37323</v>
      </c>
    </row>
    <row r="911" spans="1:11" x14ac:dyDescent="0.25">
      <c r="A911">
        <v>910</v>
      </c>
      <c r="B911" t="s">
        <v>5149</v>
      </c>
      <c r="C911" t="s">
        <v>83</v>
      </c>
      <c r="D911" t="s">
        <v>1600</v>
      </c>
      <c r="E911" s="7">
        <v>44460</v>
      </c>
      <c r="F911" t="s">
        <v>5150</v>
      </c>
      <c r="G911" t="s">
        <v>5151</v>
      </c>
      <c r="H911" t="s">
        <v>5152</v>
      </c>
      <c r="I911" t="s">
        <v>1634</v>
      </c>
      <c r="J911" t="s">
        <v>1649</v>
      </c>
      <c r="K911" s="7">
        <v>31579</v>
      </c>
    </row>
    <row r="912" spans="1:11" x14ac:dyDescent="0.25">
      <c r="A912">
        <v>911</v>
      </c>
      <c r="B912" t="s">
        <v>5153</v>
      </c>
      <c r="C912" t="s">
        <v>83</v>
      </c>
      <c r="D912" t="s">
        <v>1598</v>
      </c>
      <c r="E912" s="7">
        <v>41929</v>
      </c>
      <c r="F912" t="s">
        <v>5154</v>
      </c>
      <c r="G912" t="s">
        <v>5155</v>
      </c>
      <c r="H912" t="s">
        <v>5156</v>
      </c>
      <c r="I912" t="s">
        <v>1634</v>
      </c>
      <c r="J912" t="s">
        <v>1640</v>
      </c>
      <c r="K912" s="7">
        <v>24977</v>
      </c>
    </row>
    <row r="913" spans="1:11" x14ac:dyDescent="0.25">
      <c r="A913">
        <v>912</v>
      </c>
      <c r="B913" t="s">
        <v>5157</v>
      </c>
      <c r="C913" t="s">
        <v>75</v>
      </c>
      <c r="D913" t="s">
        <v>1602</v>
      </c>
      <c r="E913" s="7">
        <v>45183</v>
      </c>
      <c r="F913" t="s">
        <v>5158</v>
      </c>
      <c r="G913" t="s">
        <v>5159</v>
      </c>
      <c r="H913" t="s">
        <v>5160</v>
      </c>
      <c r="I913" t="s">
        <v>1654</v>
      </c>
      <c r="J913" t="s">
        <v>1640</v>
      </c>
      <c r="K913" s="7">
        <v>23989</v>
      </c>
    </row>
    <row r="914" spans="1:11" x14ac:dyDescent="0.25">
      <c r="A914">
        <v>913</v>
      </c>
      <c r="B914" t="s">
        <v>5161</v>
      </c>
      <c r="C914" t="s">
        <v>83</v>
      </c>
      <c r="D914" t="s">
        <v>1596</v>
      </c>
      <c r="E914" s="7">
        <v>39886</v>
      </c>
      <c r="F914" t="s">
        <v>5162</v>
      </c>
      <c r="G914" t="s">
        <v>5163</v>
      </c>
      <c r="H914" t="s">
        <v>5164</v>
      </c>
      <c r="I914" t="s">
        <v>1738</v>
      </c>
      <c r="J914" t="s">
        <v>1663</v>
      </c>
      <c r="K914" s="7">
        <v>35168</v>
      </c>
    </row>
    <row r="915" spans="1:11" x14ac:dyDescent="0.25">
      <c r="A915">
        <v>914</v>
      </c>
      <c r="B915" t="s">
        <v>5165</v>
      </c>
      <c r="C915" t="s">
        <v>83</v>
      </c>
      <c r="D915" t="s">
        <v>1596</v>
      </c>
      <c r="E915" s="7">
        <v>45113</v>
      </c>
      <c r="F915" t="s">
        <v>5166</v>
      </c>
      <c r="G915" t="s">
        <v>5167</v>
      </c>
      <c r="H915" t="s">
        <v>5168</v>
      </c>
      <c r="I915" t="s">
        <v>1634</v>
      </c>
      <c r="J915" t="s">
        <v>1640</v>
      </c>
      <c r="K915" s="7">
        <v>27467</v>
      </c>
    </row>
    <row r="916" spans="1:11" x14ac:dyDescent="0.25">
      <c r="A916">
        <v>915</v>
      </c>
      <c r="B916" t="s">
        <v>5169</v>
      </c>
      <c r="C916" t="s">
        <v>83</v>
      </c>
      <c r="D916" t="s">
        <v>1604</v>
      </c>
      <c r="E916" s="7">
        <v>40779</v>
      </c>
      <c r="F916" t="s">
        <v>5170</v>
      </c>
      <c r="G916" t="s">
        <v>5171</v>
      </c>
      <c r="H916" t="s">
        <v>5172</v>
      </c>
      <c r="I916" t="s">
        <v>1738</v>
      </c>
      <c r="J916" t="s">
        <v>1640</v>
      </c>
      <c r="K916" s="7">
        <v>28974</v>
      </c>
    </row>
    <row r="917" spans="1:11" x14ac:dyDescent="0.25">
      <c r="A917">
        <v>916</v>
      </c>
      <c r="B917" t="s">
        <v>5173</v>
      </c>
      <c r="C917" t="s">
        <v>75</v>
      </c>
      <c r="D917" t="s">
        <v>1614</v>
      </c>
      <c r="E917" s="7">
        <v>43420</v>
      </c>
      <c r="F917" t="s">
        <v>5174</v>
      </c>
      <c r="G917" t="s">
        <v>5175</v>
      </c>
      <c r="H917" t="s">
        <v>5176</v>
      </c>
      <c r="I917" t="s">
        <v>1738</v>
      </c>
      <c r="J917" t="s">
        <v>1663</v>
      </c>
      <c r="K917" s="7">
        <v>28185</v>
      </c>
    </row>
    <row r="918" spans="1:11" x14ac:dyDescent="0.25">
      <c r="A918">
        <v>917</v>
      </c>
      <c r="B918" t="s">
        <v>5177</v>
      </c>
      <c r="C918" t="s">
        <v>83</v>
      </c>
      <c r="D918" t="s">
        <v>1598</v>
      </c>
      <c r="E918" s="7">
        <v>43867</v>
      </c>
      <c r="F918" t="s">
        <v>5178</v>
      </c>
      <c r="G918">
        <f>1-683-764-3134</f>
        <v>-4580</v>
      </c>
      <c r="H918" t="s">
        <v>5179</v>
      </c>
      <c r="I918" t="s">
        <v>1634</v>
      </c>
      <c r="J918" t="s">
        <v>1640</v>
      </c>
      <c r="K918" s="7">
        <v>30270</v>
      </c>
    </row>
    <row r="919" spans="1:11" x14ac:dyDescent="0.25">
      <c r="A919">
        <v>918</v>
      </c>
      <c r="B919" t="s">
        <v>5180</v>
      </c>
      <c r="C919" t="s">
        <v>75</v>
      </c>
      <c r="D919" t="s">
        <v>1602</v>
      </c>
      <c r="E919" s="7">
        <v>43261</v>
      </c>
      <c r="F919" t="s">
        <v>5181</v>
      </c>
      <c r="G919" t="s">
        <v>5182</v>
      </c>
      <c r="H919" t="s">
        <v>5183</v>
      </c>
      <c r="I919" t="s">
        <v>1639</v>
      </c>
      <c r="J919" t="s">
        <v>467</v>
      </c>
      <c r="K919" s="7">
        <v>36528</v>
      </c>
    </row>
    <row r="920" spans="1:11" x14ac:dyDescent="0.25">
      <c r="A920">
        <v>919</v>
      </c>
      <c r="B920" t="s">
        <v>5184</v>
      </c>
      <c r="C920" t="s">
        <v>75</v>
      </c>
      <c r="D920" t="s">
        <v>1608</v>
      </c>
      <c r="E920" s="7">
        <v>39831</v>
      </c>
      <c r="F920" t="s">
        <v>5185</v>
      </c>
      <c r="G920" t="s">
        <v>5186</v>
      </c>
      <c r="H920" t="s">
        <v>5187</v>
      </c>
      <c r="I920" t="s">
        <v>1654</v>
      </c>
      <c r="J920" t="s">
        <v>467</v>
      </c>
      <c r="K920" s="7">
        <v>27303</v>
      </c>
    </row>
    <row r="921" spans="1:11" x14ac:dyDescent="0.25">
      <c r="A921">
        <v>920</v>
      </c>
      <c r="B921" t="s">
        <v>282</v>
      </c>
      <c r="C921" t="s">
        <v>75</v>
      </c>
      <c r="D921" t="s">
        <v>1614</v>
      </c>
      <c r="E921" s="7">
        <v>42640</v>
      </c>
      <c r="F921" t="s">
        <v>5188</v>
      </c>
      <c r="G921" t="s">
        <v>5189</v>
      </c>
      <c r="H921" t="s">
        <v>5190</v>
      </c>
      <c r="I921" t="s">
        <v>1634</v>
      </c>
      <c r="J921" t="s">
        <v>467</v>
      </c>
      <c r="K921" s="7">
        <v>29705</v>
      </c>
    </row>
    <row r="922" spans="1:11" x14ac:dyDescent="0.25">
      <c r="A922">
        <v>921</v>
      </c>
      <c r="B922" t="s">
        <v>5191</v>
      </c>
      <c r="C922" t="s">
        <v>83</v>
      </c>
      <c r="D922" t="s">
        <v>1604</v>
      </c>
      <c r="E922" s="7">
        <v>41661</v>
      </c>
      <c r="F922" t="s">
        <v>5192</v>
      </c>
      <c r="G922" t="s">
        <v>5193</v>
      </c>
      <c r="H922" t="s">
        <v>5194</v>
      </c>
      <c r="I922" t="s">
        <v>1738</v>
      </c>
      <c r="J922" t="s">
        <v>1649</v>
      </c>
      <c r="K922" s="7">
        <v>35460</v>
      </c>
    </row>
    <row r="923" spans="1:11" x14ac:dyDescent="0.25">
      <c r="A923">
        <v>922</v>
      </c>
      <c r="B923" t="s">
        <v>5195</v>
      </c>
      <c r="C923" t="s">
        <v>83</v>
      </c>
      <c r="D923" t="s">
        <v>1610</v>
      </c>
      <c r="E923" s="7">
        <v>39033</v>
      </c>
      <c r="F923" t="s">
        <v>5196</v>
      </c>
      <c r="G923" t="s">
        <v>5197</v>
      </c>
      <c r="H923" t="s">
        <v>5198</v>
      </c>
      <c r="I923" t="s">
        <v>1654</v>
      </c>
      <c r="J923" t="s">
        <v>1649</v>
      </c>
      <c r="K923" s="7">
        <v>35272</v>
      </c>
    </row>
    <row r="924" spans="1:11" x14ac:dyDescent="0.25">
      <c r="A924">
        <v>923</v>
      </c>
      <c r="B924" t="s">
        <v>5199</v>
      </c>
      <c r="C924" t="s">
        <v>83</v>
      </c>
      <c r="D924" t="s">
        <v>1596</v>
      </c>
      <c r="E924" s="7">
        <v>39099</v>
      </c>
      <c r="F924" t="s">
        <v>5200</v>
      </c>
      <c r="G924" t="s">
        <v>5201</v>
      </c>
      <c r="H924" t="s">
        <v>5202</v>
      </c>
      <c r="I924" t="s">
        <v>1654</v>
      </c>
      <c r="J924" t="s">
        <v>1663</v>
      </c>
      <c r="K924" s="7">
        <v>24174</v>
      </c>
    </row>
    <row r="925" spans="1:11" x14ac:dyDescent="0.25">
      <c r="A925">
        <v>924</v>
      </c>
      <c r="B925" t="s">
        <v>5203</v>
      </c>
      <c r="C925" t="s">
        <v>75</v>
      </c>
      <c r="D925" t="s">
        <v>1610</v>
      </c>
      <c r="E925" s="7">
        <v>39461</v>
      </c>
      <c r="F925" t="s">
        <v>5204</v>
      </c>
      <c r="G925" t="s">
        <v>5205</v>
      </c>
      <c r="H925" t="s">
        <v>5206</v>
      </c>
      <c r="I925" t="s">
        <v>1654</v>
      </c>
      <c r="J925" t="s">
        <v>1640</v>
      </c>
      <c r="K925" s="7">
        <v>27161</v>
      </c>
    </row>
    <row r="926" spans="1:11" x14ac:dyDescent="0.25">
      <c r="A926">
        <v>925</v>
      </c>
      <c r="B926" t="s">
        <v>5207</v>
      </c>
      <c r="C926" t="s">
        <v>83</v>
      </c>
      <c r="D926" t="s">
        <v>1614</v>
      </c>
      <c r="E926" s="7">
        <v>39128</v>
      </c>
      <c r="F926" t="s">
        <v>5208</v>
      </c>
      <c r="G926" t="s">
        <v>5209</v>
      </c>
      <c r="H926" t="s">
        <v>5210</v>
      </c>
      <c r="I926" t="s">
        <v>1634</v>
      </c>
      <c r="J926" t="s">
        <v>1663</v>
      </c>
      <c r="K926" s="7">
        <v>36377</v>
      </c>
    </row>
    <row r="927" spans="1:11" x14ac:dyDescent="0.25">
      <c r="A927">
        <v>926</v>
      </c>
      <c r="B927" t="s">
        <v>5211</v>
      </c>
      <c r="C927" t="s">
        <v>75</v>
      </c>
      <c r="D927" t="s">
        <v>1596</v>
      </c>
      <c r="E927" s="7">
        <v>42754</v>
      </c>
      <c r="F927" t="s">
        <v>5212</v>
      </c>
      <c r="G927" t="s">
        <v>5213</v>
      </c>
      <c r="H927" t="s">
        <v>5214</v>
      </c>
      <c r="I927" t="s">
        <v>1639</v>
      </c>
      <c r="J927" t="s">
        <v>1640</v>
      </c>
      <c r="K927" s="7">
        <v>37098</v>
      </c>
    </row>
    <row r="928" spans="1:11" x14ac:dyDescent="0.25">
      <c r="A928">
        <v>927</v>
      </c>
      <c r="B928" t="s">
        <v>5215</v>
      </c>
      <c r="C928" t="s">
        <v>75</v>
      </c>
      <c r="D928" t="s">
        <v>1600</v>
      </c>
      <c r="E928" s="7">
        <v>44465</v>
      </c>
      <c r="F928" t="s">
        <v>5216</v>
      </c>
      <c r="G928">
        <v>4429546669</v>
      </c>
      <c r="H928" t="s">
        <v>5217</v>
      </c>
      <c r="I928" t="s">
        <v>1639</v>
      </c>
      <c r="J928" t="s">
        <v>1640</v>
      </c>
      <c r="K928" s="7">
        <v>36470</v>
      </c>
    </row>
    <row r="929" spans="1:11" x14ac:dyDescent="0.25">
      <c r="A929">
        <v>928</v>
      </c>
      <c r="B929" t="s">
        <v>5218</v>
      </c>
      <c r="C929" t="s">
        <v>83</v>
      </c>
      <c r="D929" t="s">
        <v>1596</v>
      </c>
      <c r="E929" s="7">
        <v>40010</v>
      </c>
      <c r="F929" t="s">
        <v>5219</v>
      </c>
      <c r="G929" t="s">
        <v>5220</v>
      </c>
      <c r="H929" t="s">
        <v>5221</v>
      </c>
      <c r="I929" t="s">
        <v>1645</v>
      </c>
      <c r="J929" t="s">
        <v>1640</v>
      </c>
      <c r="K929" s="7">
        <v>30381</v>
      </c>
    </row>
    <row r="930" spans="1:11" x14ac:dyDescent="0.25">
      <c r="A930">
        <v>929</v>
      </c>
      <c r="B930" t="s">
        <v>5222</v>
      </c>
      <c r="C930" t="s">
        <v>75</v>
      </c>
      <c r="D930" t="s">
        <v>1608</v>
      </c>
      <c r="E930" s="7">
        <v>40821</v>
      </c>
      <c r="F930" t="s">
        <v>5223</v>
      </c>
      <c r="G930" t="s">
        <v>5224</v>
      </c>
      <c r="H930" t="s">
        <v>5225</v>
      </c>
      <c r="I930" t="s">
        <v>1634</v>
      </c>
      <c r="J930" t="s">
        <v>1663</v>
      </c>
      <c r="K930" s="7">
        <v>35481</v>
      </c>
    </row>
    <row r="931" spans="1:11" x14ac:dyDescent="0.25">
      <c r="A931">
        <v>930</v>
      </c>
      <c r="B931" t="s">
        <v>5226</v>
      </c>
      <c r="C931" t="s">
        <v>83</v>
      </c>
      <c r="D931" t="s">
        <v>1610</v>
      </c>
      <c r="E931" s="7">
        <v>38607</v>
      </c>
      <c r="F931" t="s">
        <v>5227</v>
      </c>
      <c r="G931" t="s">
        <v>5228</v>
      </c>
      <c r="H931" t="s">
        <v>5229</v>
      </c>
      <c r="I931" t="s">
        <v>1645</v>
      </c>
      <c r="J931" t="s">
        <v>1640</v>
      </c>
      <c r="K931" s="7">
        <v>32164</v>
      </c>
    </row>
    <row r="932" spans="1:11" x14ac:dyDescent="0.25">
      <c r="A932">
        <v>931</v>
      </c>
      <c r="B932" t="s">
        <v>5230</v>
      </c>
      <c r="C932" t="s">
        <v>83</v>
      </c>
      <c r="D932" t="s">
        <v>1604</v>
      </c>
      <c r="E932" s="7">
        <v>43016</v>
      </c>
      <c r="F932" t="s">
        <v>5231</v>
      </c>
      <c r="G932" t="s">
        <v>5232</v>
      </c>
      <c r="H932" t="s">
        <v>5233</v>
      </c>
      <c r="I932" t="s">
        <v>1738</v>
      </c>
      <c r="J932" t="s">
        <v>397</v>
      </c>
      <c r="K932" s="7">
        <v>30413</v>
      </c>
    </row>
    <row r="933" spans="1:11" x14ac:dyDescent="0.25">
      <c r="A933">
        <v>932</v>
      </c>
      <c r="B933" t="s">
        <v>5234</v>
      </c>
      <c r="C933" t="s">
        <v>75</v>
      </c>
      <c r="D933" t="s">
        <v>1602</v>
      </c>
      <c r="E933" s="7">
        <v>42694</v>
      </c>
      <c r="F933" t="s">
        <v>5235</v>
      </c>
      <c r="G933" t="s">
        <v>5236</v>
      </c>
      <c r="H933" t="s">
        <v>5237</v>
      </c>
      <c r="I933" t="s">
        <v>1645</v>
      </c>
      <c r="J933" t="s">
        <v>467</v>
      </c>
      <c r="K933" s="7">
        <v>25069</v>
      </c>
    </row>
    <row r="934" spans="1:11" x14ac:dyDescent="0.25">
      <c r="A934">
        <v>933</v>
      </c>
      <c r="B934" t="s">
        <v>5238</v>
      </c>
      <c r="C934" t="s">
        <v>83</v>
      </c>
      <c r="D934" t="s">
        <v>1612</v>
      </c>
      <c r="E934" s="7">
        <v>41358</v>
      </c>
      <c r="F934" t="s">
        <v>5239</v>
      </c>
      <c r="G934" t="s">
        <v>5240</v>
      </c>
      <c r="H934" t="s">
        <v>5241</v>
      </c>
      <c r="I934" t="s">
        <v>1654</v>
      </c>
      <c r="J934" t="s">
        <v>397</v>
      </c>
      <c r="K934" s="7">
        <v>37642</v>
      </c>
    </row>
    <row r="935" spans="1:11" x14ac:dyDescent="0.25">
      <c r="A935">
        <v>934</v>
      </c>
      <c r="B935" t="s">
        <v>5242</v>
      </c>
      <c r="C935" t="s">
        <v>83</v>
      </c>
      <c r="D935" t="s">
        <v>1598</v>
      </c>
      <c r="E935" s="7">
        <v>41257</v>
      </c>
      <c r="F935" t="s">
        <v>5243</v>
      </c>
      <c r="G935" t="s">
        <v>5244</v>
      </c>
      <c r="H935" t="s">
        <v>5245</v>
      </c>
      <c r="I935" t="s">
        <v>1654</v>
      </c>
      <c r="J935" t="s">
        <v>397</v>
      </c>
      <c r="K935" s="7">
        <v>26786</v>
      </c>
    </row>
    <row r="936" spans="1:11" x14ac:dyDescent="0.25">
      <c r="A936">
        <v>935</v>
      </c>
      <c r="B936" t="s">
        <v>5246</v>
      </c>
      <c r="C936" t="s">
        <v>83</v>
      </c>
      <c r="D936" t="s">
        <v>1596</v>
      </c>
      <c r="E936" s="7">
        <v>43242</v>
      </c>
      <c r="F936" t="s">
        <v>5247</v>
      </c>
      <c r="G936" t="s">
        <v>5248</v>
      </c>
      <c r="H936" t="s">
        <v>5249</v>
      </c>
      <c r="I936" t="s">
        <v>1634</v>
      </c>
      <c r="J936" t="s">
        <v>467</v>
      </c>
      <c r="K936" s="7">
        <v>25148</v>
      </c>
    </row>
    <row r="937" spans="1:11" x14ac:dyDescent="0.25">
      <c r="A937">
        <v>936</v>
      </c>
      <c r="B937" t="s">
        <v>5250</v>
      </c>
      <c r="C937" t="s">
        <v>83</v>
      </c>
      <c r="D937" t="s">
        <v>1596</v>
      </c>
      <c r="E937" s="7">
        <v>38653</v>
      </c>
      <c r="F937" t="s">
        <v>5251</v>
      </c>
      <c r="G937" t="s">
        <v>5252</v>
      </c>
      <c r="H937" t="s">
        <v>5253</v>
      </c>
      <c r="I937" t="s">
        <v>1645</v>
      </c>
      <c r="J937" t="s">
        <v>397</v>
      </c>
      <c r="K937" s="7">
        <v>24975</v>
      </c>
    </row>
    <row r="938" spans="1:11" x14ac:dyDescent="0.25">
      <c r="A938">
        <v>937</v>
      </c>
      <c r="B938" t="s">
        <v>5254</v>
      </c>
      <c r="C938" t="s">
        <v>75</v>
      </c>
      <c r="D938" t="s">
        <v>1614</v>
      </c>
      <c r="E938" s="7">
        <v>41335</v>
      </c>
      <c r="F938" t="s">
        <v>5255</v>
      </c>
      <c r="G938">
        <v>8902081669</v>
      </c>
      <c r="H938" t="s">
        <v>5256</v>
      </c>
      <c r="I938" t="s">
        <v>1639</v>
      </c>
      <c r="J938" t="s">
        <v>467</v>
      </c>
      <c r="K938" s="7">
        <v>28156</v>
      </c>
    </row>
    <row r="939" spans="1:11" x14ac:dyDescent="0.25">
      <c r="A939">
        <v>938</v>
      </c>
      <c r="B939" t="s">
        <v>5257</v>
      </c>
      <c r="C939" t="s">
        <v>83</v>
      </c>
      <c r="D939" t="s">
        <v>1610</v>
      </c>
      <c r="E939" s="7">
        <v>41095</v>
      </c>
      <c r="F939" t="s">
        <v>5258</v>
      </c>
      <c r="G939" t="s">
        <v>5259</v>
      </c>
      <c r="H939" t="s">
        <v>5260</v>
      </c>
      <c r="I939" t="s">
        <v>1738</v>
      </c>
      <c r="J939" t="s">
        <v>397</v>
      </c>
      <c r="K939" s="7">
        <v>27828</v>
      </c>
    </row>
    <row r="940" spans="1:11" x14ac:dyDescent="0.25">
      <c r="A940">
        <v>939</v>
      </c>
      <c r="B940" t="s">
        <v>5261</v>
      </c>
      <c r="C940" t="s">
        <v>83</v>
      </c>
      <c r="D940" t="s">
        <v>1596</v>
      </c>
      <c r="E940" s="7">
        <v>38887</v>
      </c>
      <c r="F940" t="s">
        <v>5262</v>
      </c>
      <c r="G940" t="s">
        <v>5263</v>
      </c>
      <c r="H940" t="s">
        <v>5264</v>
      </c>
      <c r="I940" t="s">
        <v>1634</v>
      </c>
      <c r="J940" t="s">
        <v>397</v>
      </c>
      <c r="K940" s="7">
        <v>32268</v>
      </c>
    </row>
    <row r="941" spans="1:11" x14ac:dyDescent="0.25">
      <c r="A941">
        <v>940</v>
      </c>
      <c r="B941" t="s">
        <v>5265</v>
      </c>
      <c r="C941" t="s">
        <v>83</v>
      </c>
      <c r="D941" t="s">
        <v>1606</v>
      </c>
      <c r="E941" s="7">
        <v>42011</v>
      </c>
      <c r="F941" t="s">
        <v>5266</v>
      </c>
      <c r="G941" t="s">
        <v>5267</v>
      </c>
      <c r="H941" t="s">
        <v>5268</v>
      </c>
      <c r="I941" t="s">
        <v>1634</v>
      </c>
      <c r="J941" t="s">
        <v>1640</v>
      </c>
      <c r="K941" s="7">
        <v>34550</v>
      </c>
    </row>
    <row r="942" spans="1:11" x14ac:dyDescent="0.25">
      <c r="A942">
        <v>941</v>
      </c>
      <c r="B942" t="s">
        <v>5269</v>
      </c>
      <c r="C942" t="s">
        <v>75</v>
      </c>
      <c r="D942" t="s">
        <v>1614</v>
      </c>
      <c r="E942" s="7">
        <v>42471</v>
      </c>
      <c r="F942" t="s">
        <v>5270</v>
      </c>
      <c r="G942" t="s">
        <v>5271</v>
      </c>
      <c r="H942" t="s">
        <v>5272</v>
      </c>
      <c r="I942" t="s">
        <v>1639</v>
      </c>
      <c r="J942" t="s">
        <v>1640</v>
      </c>
      <c r="K942" s="7">
        <v>26765</v>
      </c>
    </row>
    <row r="943" spans="1:11" x14ac:dyDescent="0.25">
      <c r="A943">
        <v>942</v>
      </c>
      <c r="B943" t="s">
        <v>5273</v>
      </c>
      <c r="C943" t="s">
        <v>83</v>
      </c>
      <c r="D943" t="s">
        <v>1606</v>
      </c>
      <c r="E943" s="7">
        <v>40075</v>
      </c>
      <c r="F943" t="s">
        <v>5274</v>
      </c>
      <c r="G943" t="s">
        <v>5275</v>
      </c>
      <c r="H943" t="s">
        <v>5276</v>
      </c>
      <c r="I943" t="s">
        <v>1639</v>
      </c>
      <c r="J943" t="s">
        <v>467</v>
      </c>
      <c r="K943" s="7">
        <v>35093</v>
      </c>
    </row>
    <row r="944" spans="1:11" x14ac:dyDescent="0.25">
      <c r="A944">
        <v>943</v>
      </c>
      <c r="B944" t="s">
        <v>5277</v>
      </c>
      <c r="C944" t="s">
        <v>83</v>
      </c>
      <c r="D944" t="s">
        <v>1600</v>
      </c>
      <c r="E944" s="7">
        <v>41766</v>
      </c>
      <c r="F944" t="s">
        <v>5278</v>
      </c>
      <c r="G944" t="s">
        <v>5279</v>
      </c>
      <c r="H944" t="s">
        <v>5280</v>
      </c>
      <c r="I944" t="s">
        <v>1645</v>
      </c>
      <c r="J944" t="s">
        <v>1649</v>
      </c>
      <c r="K944" s="7">
        <v>35144</v>
      </c>
    </row>
    <row r="945" spans="1:11" x14ac:dyDescent="0.25">
      <c r="A945">
        <v>944</v>
      </c>
      <c r="B945" t="s">
        <v>5281</v>
      </c>
      <c r="C945" t="s">
        <v>83</v>
      </c>
      <c r="D945" t="s">
        <v>1614</v>
      </c>
      <c r="E945" s="7">
        <v>38465</v>
      </c>
      <c r="F945" t="s">
        <v>5282</v>
      </c>
      <c r="G945">
        <v>6636250754</v>
      </c>
      <c r="H945" t="s">
        <v>5283</v>
      </c>
      <c r="I945" t="s">
        <v>1645</v>
      </c>
      <c r="J945" t="s">
        <v>397</v>
      </c>
      <c r="K945" s="7">
        <v>24157</v>
      </c>
    </row>
    <row r="946" spans="1:11" x14ac:dyDescent="0.25">
      <c r="A946">
        <v>945</v>
      </c>
      <c r="B946" t="s">
        <v>5284</v>
      </c>
      <c r="C946" t="s">
        <v>75</v>
      </c>
      <c r="D946" t="s">
        <v>1606</v>
      </c>
      <c r="E946" s="7">
        <v>39982</v>
      </c>
      <c r="F946" t="s">
        <v>5285</v>
      </c>
      <c r="G946" t="s">
        <v>5286</v>
      </c>
      <c r="H946" t="s">
        <v>5287</v>
      </c>
      <c r="I946" t="s">
        <v>1654</v>
      </c>
      <c r="J946" t="s">
        <v>397</v>
      </c>
      <c r="K946" s="7">
        <v>29929</v>
      </c>
    </row>
    <row r="947" spans="1:11" x14ac:dyDescent="0.25">
      <c r="A947">
        <v>946</v>
      </c>
      <c r="B947" t="s">
        <v>5288</v>
      </c>
      <c r="C947" t="s">
        <v>75</v>
      </c>
      <c r="D947" t="s">
        <v>1602</v>
      </c>
      <c r="E947" s="7">
        <v>45555</v>
      </c>
      <c r="F947" t="s">
        <v>5289</v>
      </c>
      <c r="G947" t="s">
        <v>5290</v>
      </c>
      <c r="H947" t="s">
        <v>5291</v>
      </c>
      <c r="I947" t="s">
        <v>1738</v>
      </c>
      <c r="J947" t="s">
        <v>1640</v>
      </c>
      <c r="K947" s="7">
        <v>24408</v>
      </c>
    </row>
    <row r="948" spans="1:11" x14ac:dyDescent="0.25">
      <c r="A948">
        <v>947</v>
      </c>
      <c r="B948" t="s">
        <v>5292</v>
      </c>
      <c r="C948" t="s">
        <v>75</v>
      </c>
      <c r="D948" t="s">
        <v>1598</v>
      </c>
      <c r="E948" s="7">
        <v>39418</v>
      </c>
      <c r="F948" t="s">
        <v>5293</v>
      </c>
      <c r="G948" t="s">
        <v>5294</v>
      </c>
      <c r="H948" t="s">
        <v>5295</v>
      </c>
      <c r="I948" t="s">
        <v>1738</v>
      </c>
      <c r="J948" t="s">
        <v>1663</v>
      </c>
      <c r="K948" s="7">
        <v>34702</v>
      </c>
    </row>
    <row r="949" spans="1:11" x14ac:dyDescent="0.25">
      <c r="A949">
        <v>948</v>
      </c>
      <c r="B949" t="s">
        <v>5296</v>
      </c>
      <c r="C949" t="s">
        <v>83</v>
      </c>
      <c r="D949" t="s">
        <v>1612</v>
      </c>
      <c r="E949" s="7">
        <v>44088</v>
      </c>
      <c r="F949" t="s">
        <v>5297</v>
      </c>
      <c r="G949" t="s">
        <v>5298</v>
      </c>
      <c r="H949" t="s">
        <v>5299</v>
      </c>
      <c r="I949" t="s">
        <v>1634</v>
      </c>
      <c r="J949" t="s">
        <v>467</v>
      </c>
      <c r="K949" s="7">
        <v>31562</v>
      </c>
    </row>
    <row r="950" spans="1:11" x14ac:dyDescent="0.25">
      <c r="A950">
        <v>949</v>
      </c>
      <c r="B950" t="s">
        <v>5300</v>
      </c>
      <c r="C950" t="s">
        <v>75</v>
      </c>
      <c r="D950" t="s">
        <v>1608</v>
      </c>
      <c r="E950" s="7">
        <v>40039</v>
      </c>
      <c r="F950" t="s">
        <v>5301</v>
      </c>
      <c r="G950">
        <f>1-819-25-135</f>
        <v>-978</v>
      </c>
      <c r="H950" t="s">
        <v>5302</v>
      </c>
      <c r="I950" t="s">
        <v>1654</v>
      </c>
      <c r="J950" t="s">
        <v>467</v>
      </c>
      <c r="K950" s="7">
        <v>26801</v>
      </c>
    </row>
    <row r="951" spans="1:11" x14ac:dyDescent="0.25">
      <c r="A951">
        <v>950</v>
      </c>
      <c r="B951" t="s">
        <v>5303</v>
      </c>
      <c r="C951" t="s">
        <v>75</v>
      </c>
      <c r="D951" t="s">
        <v>1610</v>
      </c>
      <c r="E951" s="7">
        <v>38445</v>
      </c>
      <c r="F951" t="s">
        <v>5304</v>
      </c>
      <c r="G951" t="s">
        <v>5305</v>
      </c>
      <c r="H951" t="s">
        <v>5306</v>
      </c>
      <c r="I951" t="s">
        <v>1634</v>
      </c>
      <c r="J951" t="s">
        <v>467</v>
      </c>
      <c r="K951" s="7">
        <v>24882</v>
      </c>
    </row>
    <row r="952" spans="1:11" x14ac:dyDescent="0.25">
      <c r="A952">
        <v>951</v>
      </c>
      <c r="B952" t="s">
        <v>5307</v>
      </c>
      <c r="C952" t="s">
        <v>75</v>
      </c>
      <c r="D952" t="s">
        <v>1610</v>
      </c>
      <c r="E952" s="7">
        <v>38963</v>
      </c>
      <c r="F952" t="s">
        <v>5308</v>
      </c>
      <c r="G952" t="s">
        <v>5309</v>
      </c>
      <c r="H952" t="s">
        <v>5310</v>
      </c>
      <c r="I952" t="s">
        <v>1654</v>
      </c>
      <c r="J952" t="s">
        <v>1663</v>
      </c>
      <c r="K952" s="7">
        <v>31907</v>
      </c>
    </row>
    <row r="953" spans="1:11" x14ac:dyDescent="0.25">
      <c r="A953">
        <v>952</v>
      </c>
      <c r="B953" t="s">
        <v>5311</v>
      </c>
      <c r="C953" t="s">
        <v>83</v>
      </c>
      <c r="D953" t="s">
        <v>1608</v>
      </c>
      <c r="E953" s="7">
        <v>44802</v>
      </c>
      <c r="F953" t="s">
        <v>5312</v>
      </c>
      <c r="G953" t="s">
        <v>5313</v>
      </c>
      <c r="H953" t="s">
        <v>5314</v>
      </c>
      <c r="I953" t="s">
        <v>1645</v>
      </c>
      <c r="J953" t="s">
        <v>1640</v>
      </c>
      <c r="K953" s="7">
        <v>37522</v>
      </c>
    </row>
    <row r="954" spans="1:11" x14ac:dyDescent="0.25">
      <c r="A954">
        <v>953</v>
      </c>
      <c r="B954" t="s">
        <v>5315</v>
      </c>
      <c r="C954" t="s">
        <v>75</v>
      </c>
      <c r="D954" t="s">
        <v>1614</v>
      </c>
      <c r="E954" s="7">
        <v>39289</v>
      </c>
      <c r="F954" t="s">
        <v>5316</v>
      </c>
      <c r="G954" t="s">
        <v>5317</v>
      </c>
      <c r="H954" t="s">
        <v>5318</v>
      </c>
      <c r="I954" t="s">
        <v>1634</v>
      </c>
      <c r="J954" t="s">
        <v>397</v>
      </c>
      <c r="K954" s="7">
        <v>25526</v>
      </c>
    </row>
    <row r="955" spans="1:11" x14ac:dyDescent="0.25">
      <c r="A955">
        <v>954</v>
      </c>
      <c r="B955" t="s">
        <v>5319</v>
      </c>
      <c r="C955" t="s">
        <v>75</v>
      </c>
      <c r="D955" t="s">
        <v>1610</v>
      </c>
      <c r="E955" s="7">
        <v>43000</v>
      </c>
      <c r="F955" t="s">
        <v>5320</v>
      </c>
      <c r="G955" t="s">
        <v>5321</v>
      </c>
      <c r="H955" t="s">
        <v>5322</v>
      </c>
      <c r="I955" t="s">
        <v>1738</v>
      </c>
      <c r="J955" t="s">
        <v>1649</v>
      </c>
      <c r="K955" s="7">
        <v>36589</v>
      </c>
    </row>
    <row r="956" spans="1:11" x14ac:dyDescent="0.25">
      <c r="A956">
        <v>955</v>
      </c>
      <c r="B956" t="s">
        <v>5323</v>
      </c>
      <c r="C956" t="s">
        <v>75</v>
      </c>
      <c r="D956" t="s">
        <v>1614</v>
      </c>
      <c r="E956" s="7">
        <v>39502</v>
      </c>
      <c r="F956" t="s">
        <v>5324</v>
      </c>
      <c r="G956" t="s">
        <v>5325</v>
      </c>
      <c r="H956" t="s">
        <v>5326</v>
      </c>
      <c r="I956" t="s">
        <v>1639</v>
      </c>
      <c r="J956" t="s">
        <v>397</v>
      </c>
      <c r="K956" s="7">
        <v>31935</v>
      </c>
    </row>
    <row r="957" spans="1:11" x14ac:dyDescent="0.25">
      <c r="A957">
        <v>956</v>
      </c>
      <c r="B957" t="s">
        <v>5327</v>
      </c>
      <c r="C957" t="s">
        <v>83</v>
      </c>
      <c r="D957" t="s">
        <v>1602</v>
      </c>
      <c r="E957" s="7">
        <v>45467</v>
      </c>
      <c r="F957" t="s">
        <v>5328</v>
      </c>
      <c r="G957" t="s">
        <v>5329</v>
      </c>
      <c r="H957" t="s">
        <v>5330</v>
      </c>
      <c r="I957" t="s">
        <v>1645</v>
      </c>
      <c r="J957" t="s">
        <v>1663</v>
      </c>
      <c r="K957" s="7">
        <v>24636</v>
      </c>
    </row>
    <row r="958" spans="1:11" x14ac:dyDescent="0.25">
      <c r="A958">
        <v>957</v>
      </c>
      <c r="B958" t="s">
        <v>5331</v>
      </c>
      <c r="C958" t="s">
        <v>75</v>
      </c>
      <c r="D958" t="s">
        <v>1610</v>
      </c>
      <c r="E958" s="7">
        <v>44003</v>
      </c>
      <c r="F958" t="s">
        <v>5332</v>
      </c>
      <c r="G958" t="s">
        <v>5333</v>
      </c>
      <c r="H958" t="s">
        <v>5334</v>
      </c>
      <c r="I958" t="s">
        <v>1654</v>
      </c>
      <c r="J958" t="s">
        <v>1649</v>
      </c>
      <c r="K958" s="7">
        <v>36065</v>
      </c>
    </row>
    <row r="959" spans="1:11" x14ac:dyDescent="0.25">
      <c r="A959">
        <v>958</v>
      </c>
      <c r="B959" t="s">
        <v>5335</v>
      </c>
      <c r="C959" t="s">
        <v>83</v>
      </c>
      <c r="D959" t="s">
        <v>1606</v>
      </c>
      <c r="E959" s="7">
        <v>41026</v>
      </c>
      <c r="F959" t="s">
        <v>5336</v>
      </c>
      <c r="G959" t="s">
        <v>5337</v>
      </c>
      <c r="H959" t="s">
        <v>5338</v>
      </c>
      <c r="I959" t="s">
        <v>1634</v>
      </c>
      <c r="J959" t="s">
        <v>397</v>
      </c>
      <c r="K959" s="7">
        <v>29323</v>
      </c>
    </row>
    <row r="960" spans="1:11" x14ac:dyDescent="0.25">
      <c r="A960">
        <v>959</v>
      </c>
      <c r="B960" t="s">
        <v>5339</v>
      </c>
      <c r="C960" t="s">
        <v>83</v>
      </c>
      <c r="D960" t="s">
        <v>1600</v>
      </c>
      <c r="E960" s="7">
        <v>43947</v>
      </c>
      <c r="F960" t="s">
        <v>5340</v>
      </c>
      <c r="G960" t="s">
        <v>5341</v>
      </c>
      <c r="H960" t="s">
        <v>5342</v>
      </c>
      <c r="I960" t="s">
        <v>1738</v>
      </c>
      <c r="J960" t="s">
        <v>397</v>
      </c>
      <c r="K960" s="7">
        <v>31955</v>
      </c>
    </row>
    <row r="961" spans="1:11" x14ac:dyDescent="0.25">
      <c r="A961">
        <v>960</v>
      </c>
      <c r="B961" t="s">
        <v>5343</v>
      </c>
      <c r="C961" t="s">
        <v>83</v>
      </c>
      <c r="D961" t="s">
        <v>1598</v>
      </c>
      <c r="E961" s="7">
        <v>41910</v>
      </c>
      <c r="F961" t="s">
        <v>5344</v>
      </c>
      <c r="G961" t="s">
        <v>5345</v>
      </c>
      <c r="H961" t="s">
        <v>5346</v>
      </c>
      <c r="I961" t="s">
        <v>1654</v>
      </c>
      <c r="J961" t="s">
        <v>1640</v>
      </c>
      <c r="K961" s="7">
        <v>25947</v>
      </c>
    </row>
    <row r="962" spans="1:11" x14ac:dyDescent="0.25">
      <c r="A962">
        <v>961</v>
      </c>
      <c r="B962" t="s">
        <v>5347</v>
      </c>
      <c r="C962" t="s">
        <v>75</v>
      </c>
      <c r="D962" t="s">
        <v>1606</v>
      </c>
      <c r="E962" s="7">
        <v>45437</v>
      </c>
      <c r="F962" t="s">
        <v>5348</v>
      </c>
      <c r="G962" t="s">
        <v>5349</v>
      </c>
      <c r="H962" t="s">
        <v>5350</v>
      </c>
      <c r="I962" t="s">
        <v>1654</v>
      </c>
      <c r="J962" t="s">
        <v>1640</v>
      </c>
      <c r="K962" s="7">
        <v>36254</v>
      </c>
    </row>
    <row r="963" spans="1:11" x14ac:dyDescent="0.25">
      <c r="A963">
        <v>962</v>
      </c>
      <c r="B963" t="s">
        <v>5351</v>
      </c>
      <c r="C963" t="s">
        <v>83</v>
      </c>
      <c r="D963" t="s">
        <v>1614</v>
      </c>
      <c r="E963" s="7">
        <v>42402</v>
      </c>
      <c r="F963" t="s">
        <v>5352</v>
      </c>
      <c r="G963" t="s">
        <v>5353</v>
      </c>
      <c r="H963" t="s">
        <v>5354</v>
      </c>
      <c r="I963" t="s">
        <v>1639</v>
      </c>
      <c r="J963" t="s">
        <v>397</v>
      </c>
      <c r="K963" s="7">
        <v>27647</v>
      </c>
    </row>
    <row r="964" spans="1:11" x14ac:dyDescent="0.25">
      <c r="A964">
        <v>963</v>
      </c>
      <c r="B964" t="s">
        <v>5355</v>
      </c>
      <c r="C964" t="s">
        <v>75</v>
      </c>
      <c r="D964" t="s">
        <v>1600</v>
      </c>
      <c r="E964" s="7">
        <v>45632</v>
      </c>
      <c r="F964" t="s">
        <v>5356</v>
      </c>
      <c r="G964" t="s">
        <v>5357</v>
      </c>
      <c r="H964" t="s">
        <v>5358</v>
      </c>
      <c r="I964" t="s">
        <v>1639</v>
      </c>
      <c r="J964" t="s">
        <v>397</v>
      </c>
      <c r="K964" s="7">
        <v>29848</v>
      </c>
    </row>
    <row r="965" spans="1:11" x14ac:dyDescent="0.25">
      <c r="A965">
        <v>964</v>
      </c>
      <c r="B965" t="s">
        <v>5359</v>
      </c>
      <c r="C965" t="s">
        <v>83</v>
      </c>
      <c r="D965" t="s">
        <v>1610</v>
      </c>
      <c r="E965" s="7">
        <v>41948</v>
      </c>
      <c r="F965" t="s">
        <v>5360</v>
      </c>
      <c r="G965" t="s">
        <v>5361</v>
      </c>
      <c r="H965" t="s">
        <v>5362</v>
      </c>
      <c r="I965" t="s">
        <v>1654</v>
      </c>
      <c r="J965" t="s">
        <v>397</v>
      </c>
      <c r="K965" s="7">
        <v>33520</v>
      </c>
    </row>
    <row r="966" spans="1:11" x14ac:dyDescent="0.25">
      <c r="A966">
        <v>965</v>
      </c>
      <c r="B966" t="s">
        <v>5363</v>
      </c>
      <c r="C966" t="s">
        <v>83</v>
      </c>
      <c r="D966" t="s">
        <v>1610</v>
      </c>
      <c r="E966" s="7">
        <v>39258</v>
      </c>
      <c r="F966" t="s">
        <v>5364</v>
      </c>
      <c r="G966" t="s">
        <v>5365</v>
      </c>
      <c r="H966" t="s">
        <v>5366</v>
      </c>
      <c r="I966" t="s">
        <v>1645</v>
      </c>
      <c r="J966" t="s">
        <v>1649</v>
      </c>
      <c r="K966" s="7">
        <v>29465</v>
      </c>
    </row>
    <row r="967" spans="1:11" x14ac:dyDescent="0.25">
      <c r="A967">
        <v>966</v>
      </c>
      <c r="B967" t="s">
        <v>5367</v>
      </c>
      <c r="C967" t="s">
        <v>75</v>
      </c>
      <c r="D967" t="s">
        <v>1614</v>
      </c>
      <c r="E967" s="7">
        <v>40171</v>
      </c>
      <c r="F967" t="s">
        <v>5368</v>
      </c>
      <c r="G967">
        <v>7530124804</v>
      </c>
      <c r="H967" t="s">
        <v>5369</v>
      </c>
      <c r="I967" t="s">
        <v>1738</v>
      </c>
      <c r="J967" t="s">
        <v>467</v>
      </c>
      <c r="K967" s="7">
        <v>25802</v>
      </c>
    </row>
    <row r="968" spans="1:11" x14ac:dyDescent="0.25">
      <c r="A968">
        <v>967</v>
      </c>
      <c r="B968" t="s">
        <v>5370</v>
      </c>
      <c r="C968" t="s">
        <v>75</v>
      </c>
      <c r="D968" t="s">
        <v>1612</v>
      </c>
      <c r="E968" s="7">
        <v>44773</v>
      </c>
      <c r="F968" t="s">
        <v>5371</v>
      </c>
      <c r="G968" t="s">
        <v>5372</v>
      </c>
      <c r="H968" t="s">
        <v>5373</v>
      </c>
      <c r="I968" t="s">
        <v>1645</v>
      </c>
      <c r="J968" t="s">
        <v>467</v>
      </c>
      <c r="K968" s="7">
        <v>29584</v>
      </c>
    </row>
    <row r="969" spans="1:11" x14ac:dyDescent="0.25">
      <c r="A969">
        <v>968</v>
      </c>
      <c r="B969" t="s">
        <v>5374</v>
      </c>
      <c r="C969" t="s">
        <v>83</v>
      </c>
      <c r="D969" t="s">
        <v>1604</v>
      </c>
      <c r="E969" s="7">
        <v>40619</v>
      </c>
      <c r="F969" t="s">
        <v>5375</v>
      </c>
      <c r="G969" t="s">
        <v>5376</v>
      </c>
      <c r="H969" t="s">
        <v>5377</v>
      </c>
      <c r="I969" t="s">
        <v>1639</v>
      </c>
      <c r="J969" t="s">
        <v>397</v>
      </c>
      <c r="K969" s="7">
        <v>34070</v>
      </c>
    </row>
    <row r="970" spans="1:11" x14ac:dyDescent="0.25">
      <c r="A970">
        <v>969</v>
      </c>
      <c r="B970" t="s">
        <v>5378</v>
      </c>
      <c r="C970" t="s">
        <v>83</v>
      </c>
      <c r="D970" t="s">
        <v>1612</v>
      </c>
      <c r="E970" s="7">
        <v>42579</v>
      </c>
      <c r="F970" t="s">
        <v>5379</v>
      </c>
      <c r="G970" t="s">
        <v>5380</v>
      </c>
      <c r="H970" t="s">
        <v>5381</v>
      </c>
      <c r="I970" t="s">
        <v>1634</v>
      </c>
      <c r="J970" t="s">
        <v>467</v>
      </c>
      <c r="K970" s="7">
        <v>28659</v>
      </c>
    </row>
    <row r="971" spans="1:11" x14ac:dyDescent="0.25">
      <c r="A971">
        <v>970</v>
      </c>
      <c r="B971" t="s">
        <v>5382</v>
      </c>
      <c r="C971" t="s">
        <v>83</v>
      </c>
      <c r="D971" t="s">
        <v>1610</v>
      </c>
      <c r="E971" s="7">
        <v>42768</v>
      </c>
      <c r="F971" t="s">
        <v>5383</v>
      </c>
      <c r="G971" t="s">
        <v>5384</v>
      </c>
      <c r="H971" t="s">
        <v>5385</v>
      </c>
      <c r="I971" t="s">
        <v>1738</v>
      </c>
      <c r="J971" t="s">
        <v>1649</v>
      </c>
      <c r="K971" s="7">
        <v>27847</v>
      </c>
    </row>
    <row r="972" spans="1:11" x14ac:dyDescent="0.25">
      <c r="A972">
        <v>971</v>
      </c>
      <c r="B972" t="s">
        <v>5386</v>
      </c>
      <c r="C972" t="s">
        <v>75</v>
      </c>
      <c r="D972" t="s">
        <v>1598</v>
      </c>
      <c r="E972" s="7">
        <v>42923</v>
      </c>
      <c r="F972" t="s">
        <v>5387</v>
      </c>
      <c r="G972" t="s">
        <v>5388</v>
      </c>
      <c r="H972" t="s">
        <v>5389</v>
      </c>
      <c r="I972" t="s">
        <v>1639</v>
      </c>
      <c r="J972" t="s">
        <v>1663</v>
      </c>
      <c r="K972" s="7">
        <v>23774</v>
      </c>
    </row>
    <row r="973" spans="1:11" x14ac:dyDescent="0.25">
      <c r="A973">
        <v>972</v>
      </c>
      <c r="B973" t="s">
        <v>5390</v>
      </c>
      <c r="C973" t="s">
        <v>75</v>
      </c>
      <c r="D973" t="s">
        <v>1608</v>
      </c>
      <c r="E973" s="7">
        <v>39485</v>
      </c>
      <c r="F973" t="s">
        <v>5391</v>
      </c>
      <c r="G973" t="s">
        <v>5392</v>
      </c>
      <c r="H973" t="s">
        <v>5393</v>
      </c>
      <c r="I973" t="s">
        <v>1738</v>
      </c>
      <c r="J973" t="s">
        <v>467</v>
      </c>
      <c r="K973" s="7">
        <v>29088</v>
      </c>
    </row>
    <row r="974" spans="1:11" x14ac:dyDescent="0.25">
      <c r="A974">
        <v>973</v>
      </c>
      <c r="B974" t="s">
        <v>5394</v>
      </c>
      <c r="C974" t="s">
        <v>83</v>
      </c>
      <c r="D974" t="s">
        <v>1598</v>
      </c>
      <c r="E974" s="7">
        <v>43198</v>
      </c>
      <c r="F974" t="s">
        <v>5395</v>
      </c>
      <c r="G974">
        <v>7909941095</v>
      </c>
      <c r="H974" t="s">
        <v>5396</v>
      </c>
      <c r="I974" t="s">
        <v>1639</v>
      </c>
      <c r="J974" t="s">
        <v>1649</v>
      </c>
      <c r="K974" s="7">
        <v>24080</v>
      </c>
    </row>
    <row r="975" spans="1:11" x14ac:dyDescent="0.25">
      <c r="A975">
        <v>974</v>
      </c>
      <c r="B975" t="s">
        <v>5397</v>
      </c>
      <c r="C975" t="s">
        <v>75</v>
      </c>
      <c r="D975" t="s">
        <v>1614</v>
      </c>
      <c r="E975" s="7">
        <v>45006</v>
      </c>
      <c r="F975" t="s">
        <v>5398</v>
      </c>
      <c r="G975" t="s">
        <v>5399</v>
      </c>
      <c r="H975" t="s">
        <v>5400</v>
      </c>
      <c r="I975" t="s">
        <v>1738</v>
      </c>
      <c r="J975" t="s">
        <v>1640</v>
      </c>
      <c r="K975" s="7">
        <v>36115</v>
      </c>
    </row>
    <row r="976" spans="1:11" x14ac:dyDescent="0.25">
      <c r="A976">
        <v>975</v>
      </c>
      <c r="B976" t="s">
        <v>5401</v>
      </c>
      <c r="C976" t="s">
        <v>75</v>
      </c>
      <c r="D976" t="s">
        <v>1598</v>
      </c>
      <c r="E976" s="7">
        <v>42444</v>
      </c>
      <c r="F976" t="s">
        <v>5402</v>
      </c>
      <c r="G976" t="s">
        <v>5403</v>
      </c>
      <c r="H976" t="s">
        <v>5404</v>
      </c>
      <c r="I976" t="s">
        <v>1634</v>
      </c>
      <c r="J976" t="s">
        <v>1649</v>
      </c>
      <c r="K976" s="7">
        <v>32894</v>
      </c>
    </row>
    <row r="977" spans="1:11" x14ac:dyDescent="0.25">
      <c r="A977">
        <v>976</v>
      </c>
      <c r="B977" t="s">
        <v>5405</v>
      </c>
      <c r="C977" t="s">
        <v>75</v>
      </c>
      <c r="D977" t="s">
        <v>1598</v>
      </c>
      <c r="E977" s="7">
        <v>40678</v>
      </c>
      <c r="F977" t="s">
        <v>5406</v>
      </c>
      <c r="G977">
        <f>1-46-52-2900</f>
        <v>-2997</v>
      </c>
      <c r="H977" t="s">
        <v>5407</v>
      </c>
      <c r="I977" t="s">
        <v>1654</v>
      </c>
      <c r="J977" t="s">
        <v>1649</v>
      </c>
      <c r="K977" s="7">
        <v>33923</v>
      </c>
    </row>
    <row r="978" spans="1:11" x14ac:dyDescent="0.25">
      <c r="A978">
        <v>977</v>
      </c>
      <c r="B978" t="s">
        <v>5408</v>
      </c>
      <c r="C978" t="s">
        <v>83</v>
      </c>
      <c r="D978" t="s">
        <v>1604</v>
      </c>
      <c r="E978" s="7">
        <v>40975</v>
      </c>
      <c r="F978" t="s">
        <v>5409</v>
      </c>
      <c r="G978" t="s">
        <v>5410</v>
      </c>
      <c r="H978" t="s">
        <v>5411</v>
      </c>
      <c r="I978" t="s">
        <v>1634</v>
      </c>
      <c r="J978" t="s">
        <v>1663</v>
      </c>
      <c r="K978" s="7">
        <v>35422</v>
      </c>
    </row>
    <row r="979" spans="1:11" x14ac:dyDescent="0.25">
      <c r="A979">
        <v>978</v>
      </c>
      <c r="B979" t="s">
        <v>5412</v>
      </c>
      <c r="C979" t="s">
        <v>75</v>
      </c>
      <c r="D979" t="s">
        <v>1614</v>
      </c>
      <c r="E979" s="7">
        <v>41709</v>
      </c>
      <c r="F979" t="s">
        <v>5413</v>
      </c>
      <c r="G979" t="s">
        <v>5414</v>
      </c>
      <c r="H979" t="s">
        <v>5415</v>
      </c>
      <c r="I979" t="s">
        <v>1738</v>
      </c>
      <c r="J979" t="s">
        <v>467</v>
      </c>
      <c r="K979" s="7">
        <v>25365</v>
      </c>
    </row>
    <row r="980" spans="1:11" x14ac:dyDescent="0.25">
      <c r="A980">
        <v>979</v>
      </c>
      <c r="B980" t="s">
        <v>5416</v>
      </c>
      <c r="C980" t="s">
        <v>75</v>
      </c>
      <c r="D980" t="s">
        <v>1598</v>
      </c>
      <c r="E980" s="7">
        <v>42926</v>
      </c>
      <c r="F980" t="s">
        <v>5417</v>
      </c>
      <c r="G980">
        <v>2950344279</v>
      </c>
      <c r="H980" t="s">
        <v>5418</v>
      </c>
      <c r="I980" t="s">
        <v>1645</v>
      </c>
      <c r="J980" t="s">
        <v>1640</v>
      </c>
      <c r="K980" s="7">
        <v>27713</v>
      </c>
    </row>
    <row r="981" spans="1:11" x14ac:dyDescent="0.25">
      <c r="A981">
        <v>980</v>
      </c>
      <c r="B981" t="s">
        <v>5419</v>
      </c>
      <c r="C981" t="s">
        <v>75</v>
      </c>
      <c r="D981" t="s">
        <v>1602</v>
      </c>
      <c r="E981" s="7">
        <v>40086</v>
      </c>
      <c r="F981" t="s">
        <v>5420</v>
      </c>
      <c r="G981" t="s">
        <v>5421</v>
      </c>
      <c r="H981" t="s">
        <v>5422</v>
      </c>
      <c r="I981" t="s">
        <v>1654</v>
      </c>
      <c r="J981" t="s">
        <v>467</v>
      </c>
      <c r="K981" s="7">
        <v>30682</v>
      </c>
    </row>
    <row r="982" spans="1:11" x14ac:dyDescent="0.25">
      <c r="A982">
        <v>981</v>
      </c>
      <c r="B982" t="s">
        <v>5423</v>
      </c>
      <c r="C982" t="s">
        <v>83</v>
      </c>
      <c r="D982" t="s">
        <v>1610</v>
      </c>
      <c r="E982" s="7">
        <v>39071</v>
      </c>
      <c r="F982" t="s">
        <v>5424</v>
      </c>
      <c r="G982" t="s">
        <v>5425</v>
      </c>
      <c r="H982" t="s">
        <v>5426</v>
      </c>
      <c r="I982" t="s">
        <v>1654</v>
      </c>
      <c r="J982" t="s">
        <v>1649</v>
      </c>
      <c r="K982" s="7">
        <v>28693</v>
      </c>
    </row>
    <row r="983" spans="1:11" x14ac:dyDescent="0.25">
      <c r="A983">
        <v>982</v>
      </c>
      <c r="B983" t="s">
        <v>5427</v>
      </c>
      <c r="C983" t="s">
        <v>83</v>
      </c>
      <c r="D983" t="s">
        <v>1602</v>
      </c>
      <c r="E983" s="7">
        <v>38943</v>
      </c>
      <c r="F983" t="s">
        <v>5428</v>
      </c>
      <c r="G983" t="s">
        <v>5429</v>
      </c>
      <c r="H983" t="s">
        <v>5430</v>
      </c>
      <c r="I983" t="s">
        <v>1654</v>
      </c>
      <c r="J983" t="s">
        <v>1649</v>
      </c>
      <c r="K983" s="7">
        <v>32049</v>
      </c>
    </row>
    <row r="984" spans="1:11" x14ac:dyDescent="0.25">
      <c r="A984">
        <v>983</v>
      </c>
      <c r="B984" t="s">
        <v>5431</v>
      </c>
      <c r="C984" t="s">
        <v>75</v>
      </c>
      <c r="D984" t="s">
        <v>1602</v>
      </c>
      <c r="E984" s="7">
        <v>41262</v>
      </c>
      <c r="F984" t="s">
        <v>5432</v>
      </c>
      <c r="G984" t="s">
        <v>5433</v>
      </c>
      <c r="H984" t="s">
        <v>5434</v>
      </c>
      <c r="I984" t="s">
        <v>1654</v>
      </c>
      <c r="J984" t="s">
        <v>467</v>
      </c>
      <c r="K984" s="7">
        <v>34238</v>
      </c>
    </row>
    <row r="985" spans="1:11" x14ac:dyDescent="0.25">
      <c r="A985">
        <v>984</v>
      </c>
      <c r="B985" t="s">
        <v>5435</v>
      </c>
      <c r="C985" t="s">
        <v>83</v>
      </c>
      <c r="D985" t="s">
        <v>1602</v>
      </c>
      <c r="E985" s="7">
        <v>39949</v>
      </c>
      <c r="F985" t="s">
        <v>5436</v>
      </c>
      <c r="G985" t="s">
        <v>5437</v>
      </c>
      <c r="H985" t="s">
        <v>5438</v>
      </c>
      <c r="I985" t="s">
        <v>1639</v>
      </c>
      <c r="J985" t="s">
        <v>1663</v>
      </c>
      <c r="K985" s="7">
        <v>35406</v>
      </c>
    </row>
    <row r="986" spans="1:11" x14ac:dyDescent="0.25">
      <c r="A986">
        <v>985</v>
      </c>
      <c r="B986" t="s">
        <v>5439</v>
      </c>
      <c r="C986" t="s">
        <v>83</v>
      </c>
      <c r="D986" t="s">
        <v>1604</v>
      </c>
      <c r="E986" s="7">
        <v>44395</v>
      </c>
      <c r="F986" t="s">
        <v>5440</v>
      </c>
      <c r="G986" t="s">
        <v>5441</v>
      </c>
      <c r="H986" t="s">
        <v>5442</v>
      </c>
      <c r="I986" t="s">
        <v>1639</v>
      </c>
      <c r="J986" t="s">
        <v>467</v>
      </c>
      <c r="K986" s="7">
        <v>24497</v>
      </c>
    </row>
    <row r="987" spans="1:11" x14ac:dyDescent="0.25">
      <c r="A987">
        <v>986</v>
      </c>
      <c r="B987" t="s">
        <v>5443</v>
      </c>
      <c r="C987" t="s">
        <v>83</v>
      </c>
      <c r="D987" t="s">
        <v>1610</v>
      </c>
      <c r="E987" s="7">
        <v>39194</v>
      </c>
      <c r="F987" t="s">
        <v>5444</v>
      </c>
      <c r="G987" t="s">
        <v>5445</v>
      </c>
      <c r="H987" t="s">
        <v>5446</v>
      </c>
      <c r="I987" t="s">
        <v>1634</v>
      </c>
      <c r="J987" t="s">
        <v>1663</v>
      </c>
      <c r="K987" s="7">
        <v>36087</v>
      </c>
    </row>
    <row r="988" spans="1:11" x14ac:dyDescent="0.25">
      <c r="A988">
        <v>987</v>
      </c>
      <c r="B988" t="s">
        <v>5447</v>
      </c>
      <c r="C988" t="s">
        <v>83</v>
      </c>
      <c r="D988" t="s">
        <v>1602</v>
      </c>
      <c r="E988" s="7">
        <v>40677</v>
      </c>
      <c r="F988" t="s">
        <v>5448</v>
      </c>
      <c r="G988" t="s">
        <v>5449</v>
      </c>
      <c r="H988" t="s">
        <v>5450</v>
      </c>
      <c r="I988" t="s">
        <v>1645</v>
      </c>
      <c r="J988" t="s">
        <v>1649</v>
      </c>
      <c r="K988" s="7">
        <v>30184</v>
      </c>
    </row>
    <row r="989" spans="1:11" x14ac:dyDescent="0.25">
      <c r="A989">
        <v>988</v>
      </c>
      <c r="B989" t="s">
        <v>5451</v>
      </c>
      <c r="C989" t="s">
        <v>75</v>
      </c>
      <c r="D989" t="s">
        <v>1606</v>
      </c>
      <c r="E989" s="7">
        <v>39457</v>
      </c>
      <c r="F989" t="s">
        <v>5452</v>
      </c>
      <c r="G989" t="s">
        <v>5453</v>
      </c>
      <c r="H989" t="s">
        <v>5454</v>
      </c>
      <c r="I989" t="s">
        <v>1654</v>
      </c>
      <c r="J989" t="s">
        <v>1640</v>
      </c>
      <c r="K989" s="7">
        <v>29160</v>
      </c>
    </row>
    <row r="990" spans="1:11" x14ac:dyDescent="0.25">
      <c r="A990">
        <v>989</v>
      </c>
      <c r="B990" t="s">
        <v>5455</v>
      </c>
      <c r="C990" t="s">
        <v>75</v>
      </c>
      <c r="D990" t="s">
        <v>1598</v>
      </c>
      <c r="E990" s="7">
        <v>40269</v>
      </c>
      <c r="F990" t="s">
        <v>5456</v>
      </c>
      <c r="G990" t="s">
        <v>5457</v>
      </c>
      <c r="H990" t="s">
        <v>5458</v>
      </c>
      <c r="I990" t="s">
        <v>1645</v>
      </c>
      <c r="J990" t="s">
        <v>1640</v>
      </c>
      <c r="K990" s="7">
        <v>32208</v>
      </c>
    </row>
    <row r="991" spans="1:11" x14ac:dyDescent="0.25">
      <c r="A991">
        <v>990</v>
      </c>
      <c r="B991" t="s">
        <v>5459</v>
      </c>
      <c r="C991" t="s">
        <v>83</v>
      </c>
      <c r="D991" t="s">
        <v>1610</v>
      </c>
      <c r="E991" s="7">
        <v>44155</v>
      </c>
      <c r="F991" t="s">
        <v>5460</v>
      </c>
      <c r="G991" t="s">
        <v>5461</v>
      </c>
      <c r="H991" t="s">
        <v>5462</v>
      </c>
      <c r="I991" t="s">
        <v>1639</v>
      </c>
      <c r="J991" t="s">
        <v>467</v>
      </c>
      <c r="K991" s="7">
        <v>35951</v>
      </c>
    </row>
    <row r="992" spans="1:11" x14ac:dyDescent="0.25">
      <c r="A992">
        <v>991</v>
      </c>
      <c r="B992" t="s">
        <v>5463</v>
      </c>
      <c r="C992" t="s">
        <v>75</v>
      </c>
      <c r="D992" t="s">
        <v>1596</v>
      </c>
      <c r="E992" s="7">
        <v>41362</v>
      </c>
      <c r="F992" t="s">
        <v>5464</v>
      </c>
      <c r="G992" t="s">
        <v>5465</v>
      </c>
      <c r="H992" t="s">
        <v>5466</v>
      </c>
      <c r="I992" t="s">
        <v>1654</v>
      </c>
      <c r="J992" t="s">
        <v>467</v>
      </c>
      <c r="K992" s="7">
        <v>30113</v>
      </c>
    </row>
    <row r="993" spans="1:11" x14ac:dyDescent="0.25">
      <c r="A993">
        <v>992</v>
      </c>
      <c r="B993" t="s">
        <v>5467</v>
      </c>
      <c r="C993" t="s">
        <v>83</v>
      </c>
      <c r="D993" t="s">
        <v>1612</v>
      </c>
      <c r="E993" s="7">
        <v>41863</v>
      </c>
      <c r="F993" t="s">
        <v>5468</v>
      </c>
      <c r="G993" t="s">
        <v>5469</v>
      </c>
      <c r="H993" t="s">
        <v>5470</v>
      </c>
      <c r="I993" t="s">
        <v>1645</v>
      </c>
      <c r="J993" t="s">
        <v>1663</v>
      </c>
      <c r="K993" s="7">
        <v>36175</v>
      </c>
    </row>
    <row r="994" spans="1:11" x14ac:dyDescent="0.25">
      <c r="A994">
        <v>993</v>
      </c>
      <c r="B994" t="s">
        <v>5471</v>
      </c>
      <c r="C994" t="s">
        <v>83</v>
      </c>
      <c r="D994" t="s">
        <v>1606</v>
      </c>
      <c r="E994" s="7">
        <v>39436</v>
      </c>
      <c r="F994" t="s">
        <v>5472</v>
      </c>
      <c r="G994" t="s">
        <v>5473</v>
      </c>
      <c r="H994" t="s">
        <v>5474</v>
      </c>
      <c r="I994" t="s">
        <v>1645</v>
      </c>
      <c r="J994" t="s">
        <v>1640</v>
      </c>
      <c r="K994" s="7">
        <v>29232</v>
      </c>
    </row>
    <row r="995" spans="1:11" x14ac:dyDescent="0.25">
      <c r="A995">
        <v>994</v>
      </c>
      <c r="B995" t="s">
        <v>5475</v>
      </c>
      <c r="C995" t="s">
        <v>83</v>
      </c>
      <c r="D995" t="s">
        <v>1608</v>
      </c>
      <c r="E995" s="7">
        <v>43160</v>
      </c>
      <c r="F995" t="s">
        <v>5476</v>
      </c>
      <c r="G995" t="s">
        <v>5477</v>
      </c>
      <c r="H995" t="s">
        <v>5478</v>
      </c>
      <c r="I995" t="s">
        <v>1738</v>
      </c>
      <c r="J995" t="s">
        <v>397</v>
      </c>
      <c r="K995" s="7">
        <v>35032</v>
      </c>
    </row>
    <row r="996" spans="1:11" x14ac:dyDescent="0.25">
      <c r="A996">
        <v>995</v>
      </c>
      <c r="B996" t="s">
        <v>3209</v>
      </c>
      <c r="C996" t="s">
        <v>83</v>
      </c>
      <c r="D996" t="s">
        <v>1612</v>
      </c>
      <c r="E996" s="7">
        <v>44751</v>
      </c>
      <c r="F996" t="s">
        <v>5479</v>
      </c>
      <c r="G996" t="s">
        <v>5480</v>
      </c>
      <c r="H996" t="s">
        <v>5481</v>
      </c>
      <c r="I996" t="s">
        <v>1645</v>
      </c>
      <c r="J996" t="s">
        <v>397</v>
      </c>
      <c r="K996" s="7">
        <v>36439</v>
      </c>
    </row>
    <row r="997" spans="1:11" x14ac:dyDescent="0.25">
      <c r="A997">
        <v>996</v>
      </c>
      <c r="B997" t="s">
        <v>5482</v>
      </c>
      <c r="C997" t="s">
        <v>83</v>
      </c>
      <c r="D997" t="s">
        <v>1602</v>
      </c>
      <c r="E997" s="7">
        <v>43515</v>
      </c>
      <c r="F997" t="s">
        <v>5483</v>
      </c>
      <c r="G997" t="s">
        <v>5484</v>
      </c>
      <c r="H997" t="s">
        <v>5485</v>
      </c>
      <c r="I997" t="s">
        <v>1634</v>
      </c>
      <c r="J997" t="s">
        <v>467</v>
      </c>
      <c r="K997" s="7">
        <v>33875</v>
      </c>
    </row>
    <row r="998" spans="1:11" x14ac:dyDescent="0.25">
      <c r="A998">
        <v>997</v>
      </c>
      <c r="B998" t="s">
        <v>5486</v>
      </c>
      <c r="C998" t="s">
        <v>83</v>
      </c>
      <c r="D998" t="s">
        <v>1604</v>
      </c>
      <c r="E998" s="7">
        <v>41638</v>
      </c>
      <c r="F998" t="s">
        <v>5487</v>
      </c>
      <c r="G998" t="s">
        <v>5488</v>
      </c>
      <c r="H998" t="s">
        <v>5489</v>
      </c>
      <c r="I998" t="s">
        <v>1639</v>
      </c>
      <c r="J998" t="s">
        <v>1649</v>
      </c>
      <c r="K998" s="7">
        <v>25203</v>
      </c>
    </row>
    <row r="999" spans="1:11" x14ac:dyDescent="0.25">
      <c r="A999">
        <v>998</v>
      </c>
      <c r="B999" t="s">
        <v>5490</v>
      </c>
      <c r="C999" t="s">
        <v>75</v>
      </c>
      <c r="D999" t="s">
        <v>1602</v>
      </c>
      <c r="E999" s="7">
        <v>38484</v>
      </c>
      <c r="F999" t="s">
        <v>5491</v>
      </c>
      <c r="G999" t="s">
        <v>5492</v>
      </c>
      <c r="H999" t="s">
        <v>5493</v>
      </c>
      <c r="I999" t="s">
        <v>1738</v>
      </c>
      <c r="J999" t="s">
        <v>397</v>
      </c>
      <c r="K999" s="7">
        <v>27338</v>
      </c>
    </row>
    <row r="1000" spans="1:11" x14ac:dyDescent="0.25">
      <c r="A1000">
        <v>999</v>
      </c>
      <c r="B1000" t="s">
        <v>5494</v>
      </c>
      <c r="C1000" t="s">
        <v>75</v>
      </c>
      <c r="D1000" t="s">
        <v>1608</v>
      </c>
      <c r="E1000" s="7">
        <v>45738</v>
      </c>
      <c r="F1000" t="s">
        <v>5495</v>
      </c>
      <c r="G1000" t="s">
        <v>5496</v>
      </c>
      <c r="H1000" t="s">
        <v>5497</v>
      </c>
      <c r="I1000" t="s">
        <v>1645</v>
      </c>
      <c r="J1000" t="s">
        <v>1649</v>
      </c>
      <c r="K1000" s="7">
        <v>37007</v>
      </c>
    </row>
    <row r="1001" spans="1:11" x14ac:dyDescent="0.25">
      <c r="A1001">
        <v>1000</v>
      </c>
      <c r="B1001" t="s">
        <v>5498</v>
      </c>
      <c r="C1001" t="s">
        <v>83</v>
      </c>
      <c r="D1001" t="s">
        <v>1612</v>
      </c>
      <c r="E1001" s="7">
        <v>41183</v>
      </c>
      <c r="F1001" t="s">
        <v>5499</v>
      </c>
      <c r="G1001" t="s">
        <v>5500</v>
      </c>
      <c r="H1001" t="s">
        <v>5501</v>
      </c>
      <c r="I1001" t="s">
        <v>1634</v>
      </c>
      <c r="J1001" t="s">
        <v>1649</v>
      </c>
      <c r="K1001" s="7">
        <v>24846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colleges</vt:lpstr>
      <vt:lpstr>students</vt:lpstr>
      <vt:lpstr>companies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sai mangesh</dc:creator>
  <cp:lastModifiedBy>bigdata</cp:lastModifiedBy>
  <dcterms:created xsi:type="dcterms:W3CDTF">2024-02-05T19:55:44Z</dcterms:created>
  <dcterms:modified xsi:type="dcterms:W3CDTF">2025-03-24T13:13:59Z</dcterms:modified>
</cp:coreProperties>
</file>